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Павел" sheetId="1" r:id="rId5"/>
    <sheet state="hidden" name="Лидочка 2.0" sheetId="2" r:id="rId6"/>
    <sheet state="hidden" name="Лидочка 2.0 комментарии Глеб" sheetId="3" r:id="rId7"/>
    <sheet state="hidden" name="Лидочка 2.0 (копия для разработ" sheetId="4" r:id="rId8"/>
    <sheet state="hidden" name="Рассчёты Рома" sheetId="5" r:id="rId9"/>
    <sheet state="hidden" name="Промокоды" sheetId="6" r:id="rId10"/>
    <sheet state="hidden" name="Рассчётры по разработке" sheetId="7" r:id="rId11"/>
    <sheet state="hidden" name="Перечень вопросов по сайту" sheetId="8" r:id="rId12"/>
    <sheet state="hidden" name="Задачи" sheetId="9" r:id="rId13"/>
    <sheet state="hidden" name="Типовые вопросы" sheetId="10" r:id="rId14"/>
    <sheet state="hidden" name="Клиенты" sheetId="11" r:id="rId15"/>
    <sheet state="hidden" name="Обратная связь" sheetId="12" r:id="rId16"/>
    <sheet state="hidden" name="Настройка" sheetId="13" r:id="rId17"/>
    <sheet state="hidden" name="Франшизы" sheetId="14" r:id="rId18"/>
    <sheet state="visible" name="ТЗ MVP Л-2.0 (must ( требуется " sheetId="15" r:id="rId19"/>
    <sheet state="visible" name="ТЗ 3 спринт Л-2.0" sheetId="16" r:id="rId20"/>
    <sheet state="visible" name="Л-2.0 (all US драфт финал)" sheetId="17" r:id="rId21"/>
    <sheet state="hidden" name="Л-2.0 (US финалmustархив)" sheetId="18" r:id="rId22"/>
    <sheet state="visible" name="Этапы продаж" sheetId="19" r:id="rId23"/>
    <sheet state="visible" name="Лидочка 1.0" sheetId="20" r:id="rId24"/>
  </sheets>
  <definedNames>
    <definedName hidden="1" localSheetId="0" name="_xlnm._FilterDatabase">'Павел'!$A$1:$K$70</definedName>
    <definedName hidden="1" localSheetId="1" name="_xlnm._FilterDatabase">'Лидочка 2.0'!$A$1:$L$189</definedName>
    <definedName hidden="1" localSheetId="2" name="_xlnm._FilterDatabase">'Лидочка 2.0 комментарии Глеб'!$B$2:$Z$168</definedName>
    <definedName hidden="1" localSheetId="3" name="_xlnm._FilterDatabase">'Лидочка 2.0 (копия для разработ'!$A$1:$L$115</definedName>
    <definedName hidden="1" localSheetId="6" name="_xlnm._FilterDatabase">'Рассчётры по разработке'!$A$1:$J$66</definedName>
    <definedName hidden="1" localSheetId="10" name="_xlnm._FilterDatabase">'Клиенты'!$A$1:$AB$29</definedName>
    <definedName hidden="1" localSheetId="14" name="_xlnm._FilterDatabase">'ТЗ MVP Л-2.0 (must ( требуется '!$B$2:$AE$94</definedName>
    <definedName hidden="1" localSheetId="15" name="_xlnm._FilterDatabase">'ТЗ 3 спринт Л-2.0'!$B$2:$AD$94</definedName>
    <definedName hidden="1" localSheetId="16" name="_xlnm._FilterDatabase">'Л-2.0 (all US драфт финал)'!$B$2:$Z$168</definedName>
    <definedName hidden="1" localSheetId="17" name="_xlnm._FilterDatabase">'Л-2.0 (US финалmustархив)'!$B$2:$Z$96</definedName>
    <definedName hidden="1" localSheetId="19" name="_xlnm._FilterDatabase">'Лидочка 1.0'!$A$1:$L$78</definedName>
  </definedNames>
  <calcPr/>
</workbook>
</file>

<file path=xl/sharedStrings.xml><?xml version="1.0" encoding="utf-8"?>
<sst xmlns="http://schemas.openxmlformats.org/spreadsheetml/2006/main" count="5110" uniqueCount="986">
  <si>
    <t>Приоритизированный список всего, что может понадобиться в продукте</t>
  </si>
  <si>
    <t>Участник бизнес-процесса</t>
  </si>
  <si>
    <t>Значимая, целостная часть программного обеспечения, которая предоставляет пользователю определенную ценность и помогает решить его задачу</t>
  </si>
  <si>
    <t>1-Базовые функции
 2-Функции, дифференцирующие продукт
 3-Функции, вызывающие восторг
 4-Экосистемные функции</t>
  </si>
  <si>
    <t>Комплексная пользовательская история или функциональность, которую невозможно завершить за один спринт, например:
 Ядро и архитектура системы
 Логика
 Интеграции
 Администрирование
 Оплата
 ….</t>
  </si>
  <si>
    <t>фиксированный по времени итерационный цикл работы, по окончании которого команда создает и представляет готовый к использованию, ценный инкремент продукта 1-4 недели</t>
  </si>
  <si>
    <t>Расписание событий (входят в конкретный Sprint)</t>
  </si>
  <si>
    <t>Оценка в "чистом" рабочем времени без встреч, перерывов, административных задач.</t>
  </si>
  <si>
    <t>1 — очень просто и понятно
 2, 3 — небольшие задачи
 5, 8 — средние задачи (основной объем работы в спринте)
 13, 21 — очень крупные, их нужно дробить
 ? — слишком неясно для оценки
 Оценивать относительно других задач всей командой</t>
  </si>
  <si>
    <t>Backlog</t>
  </si>
  <si>
    <t>Агент</t>
  </si>
  <si>
    <t>Функция</t>
  </si>
  <si>
    <t>Вклад (Must/Unic/Excite/Features/Eco)</t>
  </si>
  <si>
    <t>Метка /Эпик (по возможности)</t>
  </si>
  <si>
    <t>№ Спринта</t>
  </si>
  <si>
    <t>Спринт (14 дней)</t>
  </si>
  <si>
    <t>События</t>
  </si>
  <si>
    <t>Идеальные часы</t>
  </si>
  <si>
    <t>Франшиза</t>
  </si>
  <si>
    <t>Объем
 (силия, сложность, риск)</t>
  </si>
  <si>
    <t>Система</t>
  </si>
  <si>
    <t>должна подхватывать данные о номенклатуре клиента (наименование, свойства, производитель, стоимость)</t>
  </si>
  <si>
    <t xml:space="preserve">должна подхватывать данные о предстоящих отгрузках (есть график ПН/СР/СБ отгрузок) не позднее, чем дата отгрузки </t>
  </si>
  <si>
    <t xml:space="preserve">должна уметь предлагать заказчику/покупателю дату отгрузки </t>
  </si>
  <si>
    <t xml:space="preserve">Система по номенклатуре </t>
  </si>
  <si>
    <t>должна различать по введеному тексту клиента в номенклатуре подходящие позиции и добавлять их в заказ</t>
  </si>
  <si>
    <t xml:space="preserve">по голосовой команде клиента выбирать из номенклатуры подходящие позиции и добавлять их в заказ </t>
  </si>
  <si>
    <t>должна по загруженному экскель-файлу клиента из номенклатуры выбирать подходящие позиции и добавлять их в заказ</t>
  </si>
  <si>
    <t>при вводе текста сообщения выдавать подсказки наиболее подходящих позиций</t>
  </si>
  <si>
    <t>должна уметь формировать заказы в разрезе разных адресов предстоящей поставки (для ситуаций, когда у одного клиента есть разные магазины/адреса и точки доставки)</t>
  </si>
  <si>
    <t>должна уметь формировать черновик заказа для окончательного согласования</t>
  </si>
  <si>
    <t>должна после согласования клиентом формировать эксель-заказ в эксель файле в формате поставщика</t>
  </si>
  <si>
    <t xml:space="preserve">должна отправлять данный заказ на электронную почту поставщика с указанием данных заказчика и даты поставки (типовых данных) </t>
  </si>
  <si>
    <t xml:space="preserve">должна хранить в памяти историю заказов, чтобы заказчик мог выбрать при последующих заказах шаблон для новых (функция "повторить заказ"), но с возможностью редактирования </t>
  </si>
  <si>
    <t xml:space="preserve">Если система не работает по техническим причинам - автоперевод на менеджера и его канал связи </t>
  </si>
  <si>
    <t>Должна различать менеджера по закрепленному за ним клиентом/покупателем и направлять заказы согласно этому закреплению</t>
  </si>
  <si>
    <t>Уметь делать рассылки по всем пользователям</t>
  </si>
  <si>
    <t>Покупатель</t>
  </si>
  <si>
    <t xml:space="preserve">должен иметь возможность настроить наименования и адреса своих подразделений - будущие адреса доставки </t>
  </si>
  <si>
    <t xml:space="preserve">должен иметь возможность выбрать удобный для себя формат формирования заказа: прямой ввод текста, загрузка файла, диктовка речью (голосовое) </t>
  </si>
  <si>
    <t xml:space="preserve">должен иметь возможность запрашивать историю заказов за указанный им период и по указанному им подразделению </t>
  </si>
  <si>
    <t xml:space="preserve">должен иметь возможность внести изменения в сформированный и отправленный им заказ в пределах срока формирования этих заказов </t>
  </si>
  <si>
    <t>Продавец/пользователь</t>
  </si>
  <si>
    <t xml:space="preserve">должен иметь возможность добавлять/убирать покупателей в систему и выдавать им доступ </t>
  </si>
  <si>
    <t>должен иметь возможность обновлять пакетно и индивидуально номенклатуру товаров (цена, наименование, хар-ки, доступность к продаже)</t>
  </si>
  <si>
    <t>иметь возможность обновлять данные о графиках принятия заказов и графиках принятия отгрузок</t>
  </si>
  <si>
    <t>иметь возможность закреплять за конкретным покупателем конкретного продавца (менеджера/оператора в системе)</t>
  </si>
  <si>
    <t>Получать на емайл заказ по установленной 1с форме</t>
  </si>
  <si>
    <t>Оператор должен иметь возможность подключиться к чату/боту, в котором создаются заказы покупателями, и вступить в диалог, если нажимается кнопка SOS либо по собственной инициативе</t>
  </si>
  <si>
    <t>Администратор</t>
  </si>
  <si>
    <t>должен иметь возможность отключить/включить систему</t>
  </si>
  <si>
    <t>обладать всеми функциями покупателя и продавца</t>
  </si>
  <si>
    <t>иметь возможность добавлять и убирать менеджеров в системе</t>
  </si>
  <si>
    <t>Технические задачи</t>
  </si>
  <si>
    <t xml:space="preserve">СИСТЕМА НИ В КОЕМ СЛУЧАЕ НЕ ДОЛЖНА ВЫРУБАТЬСЯ (облачные сервера самые надежные) </t>
  </si>
  <si>
    <t>Предусмотреть отказоустройчивость 24/7 и перевод в оффлайн-режим при ошибках</t>
  </si>
  <si>
    <t xml:space="preserve">Продублировать несущие (Ключевые) системы на резервный вариант заполнения + облачное хранилище + бекап </t>
  </si>
  <si>
    <t>Улучшения</t>
  </si>
  <si>
    <t>Исправления багов</t>
  </si>
  <si>
    <t>Исследовательские задачи</t>
  </si>
  <si>
    <t>Автоматические уведомления (без сложной логики)</t>
  </si>
  <si>
    <t>Расширенная аналитика и AI</t>
  </si>
  <si>
    <t>База данных</t>
  </si>
  <si>
    <t>Функционал ВК</t>
  </si>
  <si>
    <t>Блок</t>
  </si>
  <si>
    <t>Комментарий Богдана</t>
  </si>
  <si>
    <t>Вклад (Must/Unic/Excite/Features/Eco)
1-Базовые функции
 2-Функции, дифференцирующие продукт
 3-Функции, вызывающие восторг
 4-Экосистемные функции</t>
  </si>
  <si>
    <t>Метка / Эпик</t>
  </si>
  <si>
    <t>Объем</t>
  </si>
  <si>
    <t xml:space="preserve">Комментарий Богдана </t>
  </si>
  <si>
    <t>Регистрация и Вход</t>
  </si>
  <si>
    <t>Пользователь</t>
  </si>
  <si>
    <t xml:space="preserve">должен иметь возможность зарегистрироваться и авторизовываться в системе по почте, номеру телефона </t>
  </si>
  <si>
    <t>должна уметь отправлять код на почту для подтверждения почты</t>
  </si>
  <si>
    <t>должна уметь отправлять код на номер телефона для подтверждения телефона</t>
  </si>
  <si>
    <t>Запрашивать создание нового пароля при регистрации</t>
  </si>
  <si>
    <t>иметь возможность придумать свой пароль</t>
  </si>
  <si>
    <t>Регистрироваться и авторизовываться с помощью сторонних сервисов (Yandex ID или VK)</t>
  </si>
  <si>
    <t>Иметь возможность безопасно восстановить забытый пароль через ссылку на раннее указанный или полученный из другого сервиса email</t>
  </si>
  <si>
    <t>При первом входе Должна провести пользователя пошагово по прцедуре регистрации, собрать: Имя, Название компании, Вэб сайт, Роль (перечень ролей предустановлен), e-mail, тел, центр уведомлений (Телеграмм, Макс или ВК)</t>
  </si>
  <si>
    <t>При проходе пошагово по прцедуре регистрации, может пропустить следующие шаги: Название компании, Вэб сайт, Роль, тел, центр уведомлений - с пометкой "настроить позже"</t>
  </si>
  <si>
    <t xml:space="preserve">Должна быть многопользовательской с разными уровнями доступа (администратор, менеджер, владелец) </t>
  </si>
  <si>
    <t>должна регистрировать первого пользователя с правами владельца через почту</t>
  </si>
  <si>
    <t>должна уметь рассылать ссылки (ПРИГЛАШЕНИЯ) для других пользователей</t>
  </si>
  <si>
    <t>Автоматически создавать изолированное рабочее пространство (Workspace) для нового пользователя (ВЛАДЕЛЬЦА) после первой регистрации</t>
  </si>
  <si>
    <t>Не должна создавать новое пространство для приглашенного владельца а включать его в созданое</t>
  </si>
  <si>
    <t>По завершению регистрации выводить пользователя на главную страницу в позиции "Старт"</t>
  </si>
  <si>
    <t>Старт</t>
  </si>
  <si>
    <t>Интерфейс</t>
  </si>
  <si>
    <t>Пункт Глобального меню :-  предназначен для формирования новых сессий, представляет собой диалоговое окно с ИИ Агентом</t>
  </si>
  <si>
    <t xml:space="preserve">Должна уметь открывать диалоговое окно с клиентом на базе обученной модели ИИ (с включенным перечнем вопросов) </t>
  </si>
  <si>
    <t>Должна предложить и в случае согласия провести гайд по основным функциям  (кнопкам) на стартовой странице</t>
  </si>
  <si>
    <t>Должна в режиме диалога собрать от пользователя стартовый набор информации для автоматического формирования промтов для новой сессии лидогенерации: информация о компании, информация о продукте (услуге), информация о потенциальных (целевых) клиентах</t>
  </si>
  <si>
    <t>Должна принимать файлы с описанием информацией для автоматического формирования промтов для новой сессии лидогенерации: информация о компании, информация о продукте (услуге), информация о потенциальных (целевых) клиентах</t>
  </si>
  <si>
    <t>Должна автоматически формировать негативные промты (не предлагать) в отншение товаров / услуг и групп клиентов</t>
  </si>
  <si>
    <t>должна выводить пользователю финальные промты, согласовывать их и давать возможность вносить дополнения (также в режиме диалога)</t>
  </si>
  <si>
    <t>должна анализировать предложения / замечания пользователя и при выявлении  серьезных несоответствий / ошибок / упрощений/ усложнений промотов давть советы</t>
  </si>
  <si>
    <t>должна предложить и настроить сценарий обработки лидов (порядок / этапы) разъясняя для чего нужен каждый из них</t>
  </si>
  <si>
    <t>Богдан должен дать структуру воронки)</t>
  </si>
  <si>
    <t>должна предложить и настроить (подключить) автоматизированные инструменты (помощь ИИ) для каждого этапа обработки лидов (например: приветствие - варианты: сам пользователь / ИИ шаблоном (настройка шаблона) / ИИ генерирует ответ (настройка прмта на старте ИИ предлагает сам свой вариант)</t>
  </si>
  <si>
    <t xml:space="preserve">предложить загрузить материалы по продукту: презентации, прайсы, фото, видео, ссылки </t>
  </si>
  <si>
    <t>по окончанию сбора и обработки информации выводить резюме, согласовывать его</t>
  </si>
  <si>
    <t>в случае отсутствия настроенного центра уведомлений должна предложить его настроить, объяснить для че5го он нужен, настроить и авторизовать пользователя в мессенджере (ВК/Тг/Макс)</t>
  </si>
  <si>
    <t>должна в диалоговом окне давать справки и советы по настройке сессии по запросам Пользователя</t>
  </si>
  <si>
    <t>должен иметь возможность писать в диалоговом окне информацию, загружать файлы</t>
  </si>
  <si>
    <t>должен иметь возможность акцептовать резюме ИИ по шагам создания промтов</t>
  </si>
  <si>
    <t xml:space="preserve">должен иметь возможность дополнять резюмированные  Системой промты </t>
  </si>
  <si>
    <t>должен иметь возможность обнулить сбор информации и начать ссначала</t>
  </si>
  <si>
    <t>в диалоговом окне дать команду "создать сессию"</t>
  </si>
  <si>
    <t xml:space="preserve">Система </t>
  </si>
  <si>
    <t>по команде пользователя должна создать новую сущность в разделе "Проекты", создать Пункт второго уровны в INBOX и перевести пользователя пространство созданной им сессии (Проект)</t>
  </si>
  <si>
    <t>При повторном входе после создания сессии должна предложить создать новую сессию</t>
  </si>
  <si>
    <t>При выходе пользователя из неоконченной настройки сохранять "место" остановки настройки</t>
  </si>
  <si>
    <t>При возвращении пользователя, предложить продолжить настройку с того места, где остановились</t>
  </si>
  <si>
    <t>Проекты</t>
  </si>
  <si>
    <t>Пункт глобального меню - содержит такие сущности ка сессии, отображает статус (активен, пауза, черновик (для незавершенных проектов) При нажатии открывает окно соответствующего проекта</t>
  </si>
  <si>
    <t>Пункт 2 уровня глобального меню Проекты - содержит такие сущности как наименование сессии, отображает статус (активен, пауза, черновик (для незавершенных проектов) При нажатии открывает окно соответствующего проекта</t>
  </si>
  <si>
    <t>Окно Проекта (она же Сессия)- набор страниц в виде закладок - для обработки, анализа, настройки сессии</t>
  </si>
  <si>
    <t>Проекты / База лидов</t>
  </si>
  <si>
    <t>Вкладка сессии: где размещены сведения о группах / сообществах в разрезе платформ, инструменты для их настройки через ИИ и в режиме "эксперт" (вручную)</t>
  </si>
  <si>
    <t>Должна предложить и в случае согласия провести гайд по основным функциям  (кнопкам) в разделах сессии</t>
  </si>
  <si>
    <t>Должна заставить пользователя авторизоваться на ативных платформах</t>
  </si>
  <si>
    <t>Должна уметь формировать базы поиска лидов в Телеграмм - функрция по умолчанию</t>
  </si>
  <si>
    <t>Должна уметь формировать базы поиска лидов в Макс - функрция по умолчанию</t>
  </si>
  <si>
    <t>Должна уметь формировать базы поиска лидов в ВК</t>
  </si>
  <si>
    <t>Должна уметь формировать базы поиска лидов в ОК</t>
  </si>
  <si>
    <t>Должна уметь формировать базы поиска лидов в Threads</t>
  </si>
  <si>
    <t>Должна уметь формировать базы поиска лидов в Инстаграм</t>
  </si>
  <si>
    <t>Должна иметь архитектуру, позволяющую подключить другие платформы</t>
  </si>
  <si>
    <t>Должна на базе промта данных из раздела "Старт" автоматически сформировать первый промт для поиска базы лидов</t>
  </si>
  <si>
    <t>Должна уметь ранжировать данные группы по признакам: наличие активности, отсутствие спама, качество аудитории (присваивать скоринговый балл)</t>
  </si>
  <si>
    <t>По умолчанию (если иные платформы не подключены / активировны) должна на базе промта данных из раздела "Старт" автоматически сформировать список сообществ для поиска лидов с учетом скорингового бала по умолчанию (соринг чистоты и активности группы) для ТГ и МАКС</t>
  </si>
  <si>
    <t>Балл по умолчанию</t>
  </si>
  <si>
    <t xml:space="preserve">При наличии активированных платформ должна на базе промта данных из раздела "Старт" автоматически в разрезе активных на момент создания платформ (вк/инст/ и т.д.) сформировать список сообществ для поиска лидов с учетом скорингового бала по умолчанию (соринг чистоты и активности группы) </t>
  </si>
  <si>
    <t>Должна отображать прогресс формирования базы лидов в разрезе каждой платформы</t>
  </si>
  <si>
    <t>Должна отображать отчет по итогам формирования базы лидов в разрезе каждой платформы</t>
  </si>
  <si>
    <t>Должна предоставлять сообщении о неактивности платформы в закладке платформы и предлагать ее активировать (докупить)</t>
  </si>
  <si>
    <t xml:space="preserve">При активации новой платформы в активной сессии в соответствующей закладке платформы автоматически сформировать / добавить список сообществ для поиска лидов с учетом скорингового бала по умолчанию (соринг чистоты и активности группы)  </t>
  </si>
  <si>
    <t>Должен видеть прогресс формировании списка групп / сообществ</t>
  </si>
  <si>
    <t>В любой моммент активировать / докупить новую платформу</t>
  </si>
  <si>
    <t xml:space="preserve">Пользователь </t>
  </si>
  <si>
    <t>Через диалоговое окно ИИ может запросить резюме - текущие настройки сессии: промты на поиск групп / фильтры</t>
  </si>
  <si>
    <t>Через диалоговое окно ИИ может корретировать промты: на поиск групп / негативные фильтры и т.д.</t>
  </si>
  <si>
    <t>Должна сверять итоговые корректировки, давать советы, запрашивать область применения (применить для всех или конкретных платформ?)</t>
  </si>
  <si>
    <t>Через диалоговое окно ИИ может добавлятьгруппы / сообщества "от пользователя" по ссылке пользователя или ее наименованию + делать это списком</t>
  </si>
  <si>
    <t>при добавлении через диалоговое окно ИИ группы / сообщества "от пользователя" по ссылке пользователя или ее наименованию - дает резюме: нашла / не нашла, совпадения на других платформах, предупреждает о негативных характерситиках группы (отсутствия активности, ботах и т.д. согласовывает добавлени.</t>
  </si>
  <si>
    <t>Должна уметь осуществлять поиск по заданным группам/каналам ТГ</t>
  </si>
  <si>
    <t>Должна уметь осуществлять поиск по заданным группам/каналам Макс</t>
  </si>
  <si>
    <t>Должна уметь осуществлять поиск по заданным группам/каналам ВК</t>
  </si>
  <si>
    <t>Должна уметь осуществлять поиск по заданным группам/каналам ОК</t>
  </si>
  <si>
    <t>Должна уметь осуществлять поиск по заданным группам/каналам Инстаграм</t>
  </si>
  <si>
    <t>Должна уметь осуществлять поиск по заданным группам/каналам Threads</t>
  </si>
  <si>
    <t>во вкладке платформы должна видеть и управлять: перечень каналов, окно ИИ для настройки каналов на платформе, + "Расширенные настройки": скоринг, качество лидов, частота обновлений, срок поиска (в днях), срок поиска в количестве лидов др</t>
  </si>
  <si>
    <t xml:space="preserve">не должен иметь возможнсть перейти в группу / канал из списка </t>
  </si>
  <si>
    <t>вести статистику по каждому каналу по следующим позициям: количество дней в поиске, обработано сообщений, отобрано лидов, отображать в строке каждого канала (+цветовая индекация (красный/желтый/зеленый) конверсия</t>
  </si>
  <si>
    <t>должн иметь возможность сортировать и фильтровать список каналов вручнную: по сроку в поиске, по количеству обработаных сообщений, по количеству переданых лидов, по балу качества лидов, по процентам конверсии</t>
  </si>
  <si>
    <t>должн иметь возможность выделять 1/ часть / все каналы и включать / выключать / удалять их (групповые операции)</t>
  </si>
  <si>
    <t>Должен иметь возможность отключить (включить ранее отключенную) (!!! не путать с неактивной/ некупленной) платформу (исключить из поиска), установить условие для автоматического отключения: срок / количество найденных лидов / другие условия (?)</t>
  </si>
  <si>
    <t>должна хранить историю промтов настройки баз лидов сессии</t>
  </si>
  <si>
    <t>должен иметь возможность импортировать настройки баз лидов из другой сессии / из истории</t>
  </si>
  <si>
    <t>Проекты / Продукт</t>
  </si>
  <si>
    <t>Вкладка сессии: где размещены сведения о продукте / услуге, инструменты для их настройки через ИИ и в режиме "эксперт" (вручную)</t>
  </si>
  <si>
    <t>На основе данных "Старт" формировать промт на продукт и осуществлять  поиск на активных платформах</t>
  </si>
  <si>
    <t>Через диалоговое окно ИИ может корретировать промты: на продукт / негативные фильтры</t>
  </si>
  <si>
    <t>Через диалоговое окно ИИ может запросить резюме - текущие настройки сессии: промты на поиск товара (услуг) / фильтры</t>
  </si>
  <si>
    <t>должен иметь возможность настроить этапы обработки лидов в режиме диалога с ИИ и Режиме эксперта</t>
  </si>
  <si>
    <t>может импортировать настройки продукта из другой сессии и из истории</t>
  </si>
  <si>
    <t>Проекты / Воронка</t>
  </si>
  <si>
    <t>Вкладка сессии: отображает диалоговое окно по настройке этапов обработки лидов, визуально отображает блоки предустановленных этапов (в разрезе активен / неактивен)</t>
  </si>
  <si>
    <t>В режиме ИИ на основе данных Старт (корректировок промтов в ручном и автоматическом режиме) предлагает этапы обработки лидов, консультирует, отвечает навопросы</t>
  </si>
  <si>
    <t>При получении соглапсия Пользователя создает разделы (этапы) обработки лидов в разделе Inbox сессии и во вкладках Шаблоны (Материалы) и Сценарии (для последующей настройки</t>
  </si>
  <si>
    <t>должен иметь возможность  в режиме диалога включать / и сключать этапы обработки лидов, задавать вопросы, получать консультации</t>
  </si>
  <si>
    <t>Должна согласовывать финал и подключать функцию</t>
  </si>
  <si>
    <t>может импортировать настройки воронки из другой сессии</t>
  </si>
  <si>
    <t>Проекты / Сценарии</t>
  </si>
  <si>
    <t>Вкладка сессии: отображает диалоговое окно по настройке автоматических действий (перемещениям) с карточками лидов (Ответ ИИ, Ответ Шаблоном, направить материал, передать пользоателю), настройке / загрузке: промтов для общения ИИ с клиентами/ щаблонов ответов / материалов и презентаций / прайсов /ссылок и других типов информации об услугах, товаре и пльзователе</t>
  </si>
  <si>
    <t xml:space="preserve">В режиме ИИ на основе данных Старт (корректировок промтов в ручном и автоматическом режиме) настроек "Воронки" предлагает сценарии  обработки лидов на каждом этапе, консультирует, отвечает на вопросы. например: первый лид - приветствие </t>
  </si>
  <si>
    <t>должен иметь возможность  в режиме диалога включать / и стключать этапы обработки лидов, задавать вопросы, получать консультации</t>
  </si>
  <si>
    <t xml:space="preserve">должени иметь возможность в любой момент изменить/ поставить на паузу / отключить / удалить / добавить новый сценарий </t>
  </si>
  <si>
    <t>при отключени / удалении сценария должна запросить у пользователя о действиях с лидами находящихся в данном сценаррии и выполнить их после получения ответа (например: передать оператору / прекратить обработку и переместить в архив и т.д.)</t>
  </si>
  <si>
    <t>может импортировать сценарии из другой сессии</t>
  </si>
  <si>
    <t>Проекты / Шаблоны</t>
  </si>
  <si>
    <t>Вкладка сессии: отображает диалоговое окно по настройке / загрузке: промтов для общения ИИ с клиентами/ щаблонов ответов / материалов и презентаций / прайсов /ссылок и других типов информации об услугах, товаре и пльзователе + каталог готовых материалов</t>
  </si>
  <si>
    <t>сохраняет в каталог материалы / щаблоны / промты / ссылки / фото / презентации и т/д/ созданные при настройке Сценариев обработки</t>
  </si>
  <si>
    <t>должен иметь возможность изменить содержание любого материала , в т.ч. скорректировать с помощью ИИ диалога</t>
  </si>
  <si>
    <t>должна предупреждать о последствиях изменений (в какой сессии каком сценарии повлечет изменения корректировка шаблона / материала)</t>
  </si>
  <si>
    <t>Должна останавливать манипуляции с шаблоном / материалом, если эти манипуляции приводят к невозможности исполнения сценария. Направлять на исправление сценария</t>
  </si>
  <si>
    <t>Проекты / Дашборд</t>
  </si>
  <si>
    <t>Вкладка сессии: содержит отчеты, графики, диаграмы, метрики (предустановленные и настраевымые</t>
  </si>
  <si>
    <t>должна освещать статистику по оработке лидов</t>
  </si>
  <si>
    <t>должен иметь возможность подключать предустановленные счетчики, фильтровать данные (периоды, платформы, стратегии, этапы)</t>
  </si>
  <si>
    <t>метрики- необходимо создать отдельный каталог</t>
  </si>
  <si>
    <t xml:space="preserve">должен иметь возможность создавать собственные счетчики, фильтровать данные </t>
  </si>
  <si>
    <t>Inbox (ВСЕ)</t>
  </si>
  <si>
    <t>Пункт глобального меню - содержит общий список всех входящих лидов отсортированных по этапам обработки и приоритета действий</t>
  </si>
  <si>
    <t>Inbox</t>
  </si>
  <si>
    <t>Пункт 2 уровня Глобального пункт ИНБОКС ВСЕ - содержит список всех входящих лидов конкретной сессии отсортированных по этапам обработки и приоритета действий</t>
  </si>
  <si>
    <t>Осуществляет синхронно все те же функции, что и Inbox (ВСЕ) только по одной конкретной сессии</t>
  </si>
  <si>
    <t>может Переключать интерфейс между Канбан-доской и Классическим списком диалогов (Карусель)</t>
  </si>
  <si>
    <t>Должна отображать Канбан страницу в виде столбцов (на основе настроек "Воронки") и карточек Канбан (расположенных в соответствии с текущим статусом обработки стратегии)</t>
  </si>
  <si>
    <t>В режиме канбан должени иметь возможность выставлять фильтрЫ: срок / этапы / стратегии / платформы / сессии</t>
  </si>
  <si>
    <t>Должен иметь возможность открыть карточку и совершить следующие дейсвия: ознакомиться с журналом операций (кто, когда общался, какие материалы направил) и диалогов, данными лида (платформа / группа / ник / тел / почта / id (другие данные), текущим статусом</t>
  </si>
  <si>
    <t>Должен иметь возможность в карточке совершить следующие дейсвия:  включиться в диалог, направить материалы, переместить карточку на другой жтап воронки, удалить карточку, направить в спам + должен иметь возможность "Откатить перемещения вручную"</t>
  </si>
  <si>
    <t>Из карточки должен иметь возможность перейти в настройки сценарие и / или шаблонов</t>
  </si>
  <si>
    <t>должен иметь возможность "перетаскивать" карточки по принципу скрам-доски</t>
  </si>
  <si>
    <t>В режиме "Карусель" должна подавть в диалоговом окне диалоги по принципу пуш активности и пуш СОС событий</t>
  </si>
  <si>
    <t>Нужен сценарий пуш-уведомлений</t>
  </si>
  <si>
    <t xml:space="preserve">должен иметь возможность в диалоговом окне: переписываться, направлять материалы / ссылки (в тч на полату), отвечать шаблонами, ставить контрольные даты и действия для выполнения в эти даты, давть команды на перемещение лида (Завершен / спам / удалить / на другой этап), переводить диалог на другого пользователя, переходить на страницу клиента, вносить данные клиента (тел, почта, имя, адрес и т.д.), оценивать лид, отмечать завершение сделки </t>
  </si>
  <si>
    <t>должна синхронизировать диалоговое окно в мессенджере пользователя (в центре уведомлений)</t>
  </si>
  <si>
    <t>должен иметь возможность обрабатывать карусель в месенджере (центре уведомлений) аналогично Inbox</t>
  </si>
  <si>
    <t>Beeper
RamBox
проработать кросплатформенность мессенджера</t>
  </si>
  <si>
    <t>excite - восторг</t>
  </si>
  <si>
    <t>Должна уметь "вычленять" из найденного контакта номер телефона (при возможности)</t>
  </si>
  <si>
    <t>Должна уметь "вычленять" из найденного контакта телеграм @</t>
  </si>
  <si>
    <t>Должна уметь обрабатывать ОС от пользователя (подходит/не подходит/архив) ДОБУЧАТЬСЯ</t>
  </si>
  <si>
    <t>Должна периодически чистить промт от накопленного мусора (Сверять расхождения со стартовыми настройками)</t>
  </si>
  <si>
    <t>В режиме Канбан-доски перетаскивать карточки лидов (Drag&amp;Drop) по этапам воронки</t>
  </si>
  <si>
    <t>Автоматически пересчитывать количество лидов в каждой колонке при перемещении карточек</t>
  </si>
  <si>
    <t>Отображать в Inbox аватарку менеджера, взявшего лида в работу, для защиты от дублирования</t>
  </si>
  <si>
    <t>Показывать статус «💬 Печатает...», если другой менеджер уже отвечает данному клиенту</t>
  </si>
  <si>
    <t>Интеграция с CRM</t>
  </si>
  <si>
    <t>eco - экосистема</t>
  </si>
  <si>
    <t>Настроить интеграции с CRM-системами (amoCRM, Bitrix24, RetailCRM) или задать Custom Webhook</t>
  </si>
  <si>
    <t>При перетаскивании карточки лида на этап «Передан в CRM» автоматически отправлять данные в систему</t>
  </si>
  <si>
    <t>Администрирование</t>
  </si>
  <si>
    <t>Пункт Глобального меню: содержит сведения и инструменты настройки сервиса (Личный кабинет) / Пользователи и группы / Билинг /</t>
  </si>
  <si>
    <t>Личный кабинет</t>
  </si>
  <si>
    <t>Пункт 2 ур Пункта Администрирования: свдения о пользователе</t>
  </si>
  <si>
    <t>Должен иметь возможность хранить / изменять данные о себе: тел / почта / сайт / ник / ФИО / компания / роль</t>
  </si>
  <si>
    <t>Пользователи и группы</t>
  </si>
  <si>
    <t>Должен иметь возможность хранить / изменять данные о пользователях, направлять приглашения, назначать роли, зареплять за сессиями (откреплять), удалять пользователей, включать в группы, назначать роли для членов группы, закреплять (изменять / удалять) группу за сессией</t>
  </si>
  <si>
    <t>матрица ролей</t>
  </si>
  <si>
    <t>Подписка и биллинг</t>
  </si>
  <si>
    <t>Пункт 2 ур Пункта Администрирования: свдения о тарифах, конструктор тарифов, оплата, история заказов</t>
  </si>
  <si>
    <t>Должна уметь определять сумму оплаты в зависимости от тарифа, срока лицензии и доп функций (ИИ продажник / активация платформ / интеграция CRM)</t>
  </si>
  <si>
    <t>Должна уметь останавливать работу сервиса при истечении срока действия лицензии</t>
  </si>
  <si>
    <t>Должна уметь напоминать клиенту ДО истечения срока действия лицензии и ПОСЛЕ</t>
  </si>
  <si>
    <t>Должна хранить историю счетов</t>
  </si>
  <si>
    <t>Иметь возможность подключать платные каналы</t>
  </si>
  <si>
    <t>Иметь возможность выбирать тариф доп функции (платформы / количество пользователей) и оплачивать его через сервис эквайринга</t>
  </si>
  <si>
    <t>Должен иметь возможность получить чек за оплату</t>
  </si>
  <si>
    <t>Должен иметь возможность возобновлять подписку со старыми настройками</t>
  </si>
  <si>
    <t>Выбрать тариф (Start, Pro, Agency) и управлять подпиской в визуальном разделе Биллинга</t>
  </si>
  <si>
    <t>Каналы для поиска лидов</t>
  </si>
  <si>
    <t>Должен активировать подписки на платформы для формирования базы лидов, оплачивать их и авторизовываться на указанных платформах</t>
  </si>
  <si>
    <t>Готовые Профайлы</t>
  </si>
  <si>
    <t>Пункт 2 ур Пункта Администрирования: свдения о настроиных профпрофайлов лидов и сценариев</t>
  </si>
  <si>
    <t>О системе</t>
  </si>
  <si>
    <t>Пункт 2 ур Пункта Администрирования: свдения о ПО, разработчике, версии, праовая информация: интеллектуальная собственность, соглашения, политики</t>
  </si>
  <si>
    <t>Функции, не привязанные к блокам (Ядро, Глобальный UI, Технические)</t>
  </si>
  <si>
    <t>Должна уметь отсекать спам в найденных лидах</t>
  </si>
  <si>
    <t>Должны уметь проверять чек-боксы на согласие с условием пользования и НПА</t>
  </si>
  <si>
    <t>Переводить на тех.поддержку</t>
  </si>
  <si>
    <t>Вызывать модальное окно глобального поиска по платформе с помощью горячих клавиш Cmd+K</t>
  </si>
  <si>
    <t>Отображать всплывающие уведомления (Toasts) при сохранении настроек, отправке сообщений</t>
  </si>
  <si>
    <t>Комментарий</t>
  </si>
  <si>
    <t>Ответ на вопрос</t>
  </si>
  <si>
    <t xml:space="preserve">Вклад (Must/Unic/Excite/Features/Eco)
1-Базовые функции
 2-Функции, дифференцирующие продукт
 3-Функции, вызывающие восторг
 4-Экосистемные функции
5 - Фичи - приколюхи, ради излишнего конфорта </t>
  </si>
  <si>
    <t>Авторизация по СМС будет стоить денег для нас, каждое сообщение платное, от 10 копеек до нескольких рублей. https://sms.ru/price</t>
  </si>
  <si>
    <t>да, окей</t>
  </si>
  <si>
    <t>Must</t>
  </si>
  <si>
    <t>база данных</t>
  </si>
  <si>
    <t>автоматические уведомления без сложной логики</t>
  </si>
  <si>
    <t>другое</t>
  </si>
  <si>
    <t>Запихнуть в форму регистрации</t>
  </si>
  <si>
    <t>согласны</t>
  </si>
  <si>
    <t>Unic</t>
  </si>
  <si>
    <t>Не понятно</t>
  </si>
  <si>
    <t>решили</t>
  </si>
  <si>
    <t>интерфейс</t>
  </si>
  <si>
    <t>У нас может быть так, что человек зарегистрировался на платформе, чтобы подключится к чужому проекту и ему не нужно создавать новый проект. 
После регистрации предлагаем сделать большую кнопку создать проект и  дальше идти по созданию нового проекта и рядом кнопка подключится к чужому проекту, куда надо вставить ссылку на приглашение.</t>
  </si>
  <si>
    <t>Мне кажется, пока можно обойтись обычным опросом</t>
  </si>
  <si>
    <t>на 1 этапе обычный опрос (2-3 минуты)</t>
  </si>
  <si>
    <t>Должна через диалоговое окно провести опрос по предустановленному сценарию: информация о компании, о продукте и о товаре</t>
  </si>
  <si>
    <t xml:space="preserve">Должна уметь открывать диалоговое окно с клиентом на базе обученной модели ИИ (с включенным перечнем вопросов) УМНЫЙ ОПРОС </t>
  </si>
  <si>
    <t>Не обучаем ИИ модель, пишем системный промпт и создаем список обязательных полей для формирования промпта</t>
  </si>
  <si>
    <t>умный опрос</t>
  </si>
  <si>
    <t>AI-аналитика</t>
  </si>
  <si>
    <t>Это интерактиваня иснтрукция, гайд для работы с механизмом?</t>
  </si>
  <si>
    <t>да</t>
  </si>
  <si>
    <t>Features</t>
  </si>
  <si>
    <t>18 пункт</t>
  </si>
  <si>
    <t>Docx и Doc, текстовые документы, PDF, PPTX переносить на отдельную модель котороая может принимать документы пример: openai/gpt-5-nano</t>
  </si>
  <si>
    <t>Excite</t>
  </si>
  <si>
    <t>Когда должна давать советы?
Она должна писать промты, а не давать советы, либо мы не понимаем.</t>
  </si>
  <si>
    <t>переносим в будущее</t>
  </si>
  <si>
    <t>Сохраняем при этому структуру CRM системы на сайте как канбан доску с 3 столбцами, воронка просто как информация и подсказка?</t>
  </si>
  <si>
    <t>будущеее</t>
  </si>
  <si>
    <t>Ничего не понятно. Выглядит сложно и масштабно</t>
  </si>
  <si>
    <t>24 п.</t>
  </si>
  <si>
    <t>Как мы поняли, человек может выбрать, куда ему будут приходить уведомления.
Заложили много из-за ВК</t>
  </si>
  <si>
    <t>Только на входящее сообщение можем. У нас и так заложено, что мы формируем ответ по шаблону. 
Предполагаем, что надо не только ответ по шаблону, но и целый диалог с нейронкой, тогда это будет сложнее.</t>
  </si>
  <si>
    <t>будущее</t>
  </si>
  <si>
    <t>Рассматриваем только текстовые документы</t>
  </si>
  <si>
    <t>Зачем?</t>
  </si>
  <si>
    <t>Требование непонятно, нужно будет при разработке получить точные требования.</t>
  </si>
  <si>
    <t>Какую сессию? Вопрос про Проект?</t>
  </si>
  <si>
    <t>непонятно</t>
  </si>
  <si>
    <t>Требования поверхностные, много надо решить, как это должно работать и выглядеть</t>
  </si>
  <si>
    <t>41 пункт</t>
  </si>
  <si>
    <t>Как мы поняли обучение по всему интерфейсу.</t>
  </si>
  <si>
    <t>Мы сделали так, что у нас не надо подключать свои аккаунты. Зачем тогда эти пукнты</t>
  </si>
  <si>
    <t>Должна уметь формировать базы поиска лидов в Телеграмм - функция по умолчанию</t>
  </si>
  <si>
    <t>интеграция с ТГ</t>
  </si>
  <si>
    <t>Должна уметь формировать базы поиска лидов в Макс</t>
  </si>
  <si>
    <t>Должна уметь формировать базы поиска лидов в ВК  - функция по умолчанию</t>
  </si>
  <si>
    <t>Eco</t>
  </si>
  <si>
    <t>Должна уметь ранжировать данные группы по признакам: наличие активности, боты, язык,  (присваивать скоринговый балл)</t>
  </si>
  <si>
    <t>Много нюансов</t>
  </si>
  <si>
    <t>Должна уметь ранжировать данные группы по признакам: отсутствие спама, качество аудитории (присваивать скоринговый балл)</t>
  </si>
  <si>
    <t>Интегририровать скоринг модели в новые платформы: Макс, ОК, Трид, Инста и т.д.</t>
  </si>
  <si>
    <t>По умолчанию (если иные платформы не подключены / активировны) должна на базе промта данных из раздела "Старт" автоматически сформировать список сообществ для поиска лидов с учетом скорингового бала по умолчанию (соринг чистоты и активности группы) для ТГ и VK</t>
  </si>
  <si>
    <t>Для итогового наполнения системы данными</t>
  </si>
  <si>
    <t>60 для ТГ - Глеб остальные 4 на тесты</t>
  </si>
  <si>
    <t xml:space="preserve"> при формировании базы должна присваивать скоринговый бал для каждого сообщества /группы</t>
  </si>
  <si>
    <t>Пользователь должен иметь возможность фильтровать (подключать / отключать ) сообщества пор признаку скорингового бала</t>
  </si>
  <si>
    <t>56 пункт</t>
  </si>
  <si>
    <t>Непонятно. Мы оценили как выход за лимиты.</t>
  </si>
  <si>
    <t>при подключении платформы, должна запросить применить ее в активных  сессиях и запустить промты после данного подтверждения</t>
  </si>
  <si>
    <t>набираем статистику и делаем</t>
  </si>
  <si>
    <t>Должен иметь возможность отключить (включить ранее отключенную) (!!! не путать с неактивной/ некупленной) платформу (исключить из поиска)</t>
  </si>
  <si>
    <t>Должен иметь возможность  установить условие для автоматического отключения: срок / количество найденных лидов / другие условия (?)</t>
  </si>
  <si>
    <t>должна хранить историю промтов настройки баз лидов сессии (2 последних версии на сессию)</t>
  </si>
  <si>
    <t>Сколько версий надо видеть прошлых</t>
  </si>
  <si>
    <t>Настройка в ручном режиме</t>
  </si>
  <si>
    <t>должен иметь возможность  включать / и отключать этапы обработки лидов</t>
  </si>
  <si>
    <t>Хранение шаблонов сообщений для первого контакта с лидом</t>
  </si>
  <si>
    <t>Возможность при переходе по ссылке на чат лида уже името сообщение в строке воода готовое к отправке</t>
  </si>
  <si>
    <t>должен иметь возможность изменить содержание любого материала / шаблона</t>
  </si>
  <si>
    <t>Богдан ответственный за метрики</t>
  </si>
  <si>
    <t>непонятно, возможно очень сложно. Надо сделать свою графану</t>
  </si>
  <si>
    <t>Богдан + Тех: структура инбокса</t>
  </si>
  <si>
    <t>невозможно, у нас в каждом проекте мы можем создавать свои этапы</t>
  </si>
  <si>
    <t>Богдан функционал карточки</t>
  </si>
  <si>
    <t>невозможно если не через наш чат/ только операции</t>
  </si>
  <si>
    <t xml:space="preserve">при текущей архитектуре - невозможно </t>
  </si>
  <si>
    <t>должен иметь возможность обрабатывать карусель в месенджере (центре уведомлений)</t>
  </si>
  <si>
    <t>из центра уведомлений должен переходиь на наш сайт</t>
  </si>
  <si>
    <t>Должна уметь "вычленять" из найденного лида контакт телеграм @ / VK и т.д.</t>
  </si>
  <si>
    <t>не можем оценить</t>
  </si>
  <si>
    <t>Богдан: структура ценообразования</t>
  </si>
  <si>
    <t>интеграция с платежной системой</t>
  </si>
  <si>
    <t>БАЗА</t>
  </si>
  <si>
    <t>На согласование БД.
На развёртку серверов
На создания базовой структуры сайтов</t>
  </si>
  <si>
    <t>Переработка интерфейса</t>
  </si>
  <si>
    <t>После всего перечисленного и когда утвердим что нужно будет сделать. Надо будет пересобрать демо сайт, а позже демо натянуть полностью на нашу конструкцию сайта!</t>
  </si>
  <si>
    <t>Кабинет модератора</t>
  </si>
  <si>
    <t>Нужно создать свой кабинет, через который мы можем управлять кабиентами наших клиентов для настройки и обслуживания</t>
  </si>
  <si>
    <t>Комментарий Ромы и Глеба</t>
  </si>
  <si>
    <t>Регистрация пользователя</t>
  </si>
  <si>
    <t>должна уметь отправлять код на почту</t>
  </si>
  <si>
    <t xml:space="preserve">должна уметь отправлять код на номер телефона </t>
  </si>
  <si>
    <t>Регистрироваться и авторизовываться с помощью сторонних сервисов (SSO OAuth: Google, Telegram, VK)</t>
  </si>
  <si>
    <t>насколько сложно?</t>
  </si>
  <si>
    <t>требуется создать прилоение ВК ID оно будет проверяться командой ВК. Это занимает много времени</t>
  </si>
  <si>
    <t>Иметь возможность безопасно восстановить забытый пароль через ссылку на раннее указанный email или номер телефона</t>
  </si>
  <si>
    <t>Добавить кнопку технической поддержки для восстановления доступа</t>
  </si>
  <si>
    <t>Должна провести пользователя пошагово по прцедуре регистрации, собрать: Имя, Название компании, Вэб сайт, Роль (перечень ролей предустановлен), e-mail, тел, центр уведомлений (Телеграмм, Макс или ВК)</t>
  </si>
  <si>
    <t>Система должна регистрировать первого пользователя с правами владельца через почту</t>
  </si>
  <si>
    <t>в будущем - обсудить ДО того как сдадим в работу</t>
  </si>
  <si>
    <t>Автоматически создавать изолированное рабочее пространство (Workspace) для нового пользователя после первой регистрации</t>
  </si>
  <si>
    <t>приложить бриф для лидочки</t>
  </si>
  <si>
    <t>Обучение не требуется достаточно системного промпта и полей для заполнения</t>
  </si>
  <si>
    <t xml:space="preserve">Нужен опросник </t>
  </si>
  <si>
    <t>Какие расширения файлов планируются для работы? Какое содержание файлов?</t>
  </si>
  <si>
    <t>Это значительно повысит затраты по памяти для хранения клиентов. непонятно как вписать во фронт</t>
  </si>
  <si>
    <t xml:space="preserve">Блок «База лидов» </t>
  </si>
  <si>
    <t>Должна на базе промта данных из раздела "ваш продукт" автоматически сформировать первый промт для поиска базы лидов</t>
  </si>
  <si>
    <t>Должна уметь анализировать добавленные в нее чаты и группы</t>
  </si>
  <si>
    <t>Должна уметь на основе промта составлять перечень групп/сообществ для будущих поисковых мероприятий</t>
  </si>
  <si>
    <t>Должна уметь ранжировать данные группы по признакам: наличие активности, отсутствие спама, качество аудитории</t>
  </si>
  <si>
    <t>Должна уметь осуществлять поиск по заданным группам/каналам</t>
  </si>
  <si>
    <t>Должна уметь на основе промта составлять запросы под услуги и товары клиента</t>
  </si>
  <si>
    <t>Должна уметь автоматически находить список релевантных каналов и оценивать их качество</t>
  </si>
  <si>
    <t>Должна формровать список запросов (seed) для запросов в телеграмме</t>
  </si>
  <si>
    <t>Должна на основе сидов формировать полноценные расширенные запросы для поиска</t>
  </si>
  <si>
    <t>Должен иметь возможность настроить промт на поиск услуги и возможность менять уровень фильтрации</t>
  </si>
  <si>
    <t>Должен иметь возможность корректировать промт</t>
  </si>
  <si>
    <t>Должен иметь возможность корректировать шаблонное smart-сообщение</t>
  </si>
  <si>
    <t>Должна предлагать шаблонное smart-сообщение найденным контактам от имени пользователя</t>
  </si>
  <si>
    <t>Должна уметь добавлять/удалять каналы по инициативе пользователя (к тем, которые идут при старте)</t>
  </si>
  <si>
    <t>В каком режиме осуществляется взаимодействие диалог или можно кнопки/переключатели</t>
  </si>
  <si>
    <t>В случае невозможности подключить канал она должна уведомить об этом пользователя</t>
  </si>
  <si>
    <t>Должны быть закладки для промтов</t>
  </si>
  <si>
    <t>Должен иметь возможность переключать вид между «Режимом Эксперта» и «Автонастройкой (AI)»</t>
  </si>
  <si>
    <t>Должен иметь возможность посмотреть объяснение логики ИИ (Explainable AI - кнопка с глазиком)</t>
  </si>
  <si>
    <t>В «Режиме Эксперта» запускать AI Deep Research для точечной генерации промтов через диалог</t>
  </si>
  <si>
    <t>Отображать статистику по количеству переданных лидов из конкретных сообществ рядом с названиями</t>
  </si>
  <si>
    <t>Ранжировать найденные сообщества по убыванию количества полученных лидов и выделять цветовой индикацией</t>
  </si>
  <si>
    <t>Включать/отключать парсинг конкретных найденных сообществ с помощью ползунков</t>
  </si>
  <si>
    <t>Задавать минус-слова и регулярные выражения (Regex) для ручной фильтрации в «Режиме Эксперта»</t>
  </si>
  <si>
    <t>Настраивать сценарии автоответов (шаблоны с переменными и задержки) внутри «Режима Эксперта»</t>
  </si>
  <si>
    <t>Иметь возможность перейти в подраздел «Каналы для поиска лидов» по отдельной кнопке</t>
  </si>
  <si>
    <t>Поддерживать авторизацию и парсинг из Telegram, VKontakte, Instagram, Threads, MAX, Одноклассники, TikTok</t>
  </si>
  <si>
    <t>Блок «Inbox»</t>
  </si>
  <si>
    <t>Должна уметь обрабатывать ОС от пользователя (подходит/не подходит/архив)</t>
  </si>
  <si>
    <t>Должен иметь возможность давать ОС на каждого найденного лида кнопками</t>
  </si>
  <si>
    <t>Переключать интерфейс между Канбан-доской и Классическим списком диалогов (ползунок)</t>
  </si>
  <si>
    <t>непонятно как отслеживать, я не думаю что возможно/ очень долго- Глеб</t>
  </si>
  <si>
    <t>Блок «Дашборд аналитики»</t>
  </si>
  <si>
    <t>Формировать ежедневный отчет по работе (обработано групп/отсечено/подобрано/направлено)</t>
  </si>
  <si>
    <t>Видеть на дашборде метрики: Всего лидов, Активные диалоги, Отправлено сообщений, Конверсии</t>
  </si>
  <si>
    <t>Строить графики активности по лидам в разрезе дней недели и вести лог-ленту системных событий</t>
  </si>
  <si>
    <t>Переключать аналитику между «Ежедневная» и «По подписке»</t>
  </si>
  <si>
    <t>Что значит по подписке? За период подписки?</t>
  </si>
  <si>
    <t>Блок «Интеграция с CRM»</t>
  </si>
  <si>
    <t>Блок «Подписка и биллинг»</t>
  </si>
  <si>
    <t>Должна уметь определять сумму оплаты в зависимости от тарифа, срока лицензии</t>
  </si>
  <si>
    <t>Иметь возможность выбирать тариф и оплачивать его через сервис эквайринга</t>
  </si>
  <si>
    <t>Блок «Настройки профиля»</t>
  </si>
  <si>
    <t>Должна уметь авторизовывать несколько пользователей (групп) и определять лимиты</t>
  </si>
  <si>
    <t>Должна хранить историю настроек и иметь возможность откатывать до заводских настроек</t>
  </si>
  <si>
    <t>Должен иметь возможность зарегистрироваться</t>
  </si>
  <si>
    <t>Зарегистрировать других пользователей из своей команды согласно тарифу</t>
  </si>
  <si>
    <t>На старте выбирает: самостоятельные настройки или выбор помощи менеджера</t>
  </si>
  <si>
    <t>Уметь авторизировать одного пользователя по ТГ ID</t>
  </si>
  <si>
    <t>Излишне сложно - Глеб</t>
  </si>
  <si>
    <t>Название</t>
  </si>
  <si>
    <t>Описание</t>
  </si>
  <si>
    <t>Время реализации</t>
  </si>
  <si>
    <t>Сервер</t>
  </si>
  <si>
    <t>Нужно поднять сервер, купить домен, всё это подключить.</t>
  </si>
  <si>
    <t>Каталог товаров</t>
  </si>
  <si>
    <t>Основная часть страницы адаптивная для телефона и ПК, чтобы у нас был перечень товаров и мы могли просмотреть их всех и ознакомиться с ними. Сверху поле для поиска и при вводе в него, подсказывать, что есть в каталоге на 10000 позиций из названия товара, описания, бренда и других тексовых полей. Важно, что наш поиск должен быть не придирчив к регистру и ошибкам.</t>
  </si>
  <si>
    <t>Бэкенд</t>
  </si>
  <si>
    <t>Основа, где будет наша БД, скорее всего постгресс, чтобы быстро работало. Сущности с товарами, клиентами, историей заказов, корзиной, адреса.
Взамимодействие с 1C по АПИ</t>
  </si>
  <si>
    <t>Синхронизация с 1С</t>
  </si>
  <si>
    <t xml:space="preserve">Запросы на синхронизацию товаров. Запрос о получении новой заявки.
Синхронизация: 
* каталог всех товаров 
* получение клиента по заданному ИНН
* создание нового клиента в базе
* создание новой заявки из товаров в 1С </t>
  </si>
  <si>
    <t>Корзина</t>
  </si>
  <si>
    <t>Можно складывать товары в козину.
В корзине можно увелитчить число товара или удалить товар из неё.
В ней можно заполнить все необходимые данные, после чего отправить заявку.
При заполнении заявки мы должны дать выбрать дату доставки.
На выбор даётся от ближайшего ПН/СР/СБ, до 15 часов по МСК, грядущего дня. 
Тоесть, если мы во ВТ хотим заказать на СР, до 15 часов мы можем выбрать СР, а после 15, уже только СБ, так как она ближайшая следущая.
Так же, мы можем во ВТ заказать и на СБ и на следущий ПН/СР/СБ, мы можем выбрать любой из этих дней недели на месяц вперёд.
Проверку на выбранную дату и время делать на сайте и обязательно на сервере.
Нужно выбрать только дату дать, время оформления, нужно только нам, чтобы ограничить, до какого времени на завтра мы можем принимать заказы, так что поле вренмеи юзеру даваться не буедт. 
Давай сделаем ограничение, что у нас не больше 20 заказов можно в день сделать и сделаем это как дефолтное значение в таблице клиента на нашей стороне, чтобы на всякий случай для каждого клиента мы могли заменить это значение.</t>
  </si>
  <si>
    <t>Авторизация через ТГ</t>
  </si>
  <si>
    <t xml:space="preserve">Если мы вошли на сайт и не авторизованы для юзера генерируется хэш и кладётся в куки. 
Ему выдаётся qr код с сссыклй на нашего бота и передаём в параметре мини хэш, который мы создали в отдельной таблицы и там же указали, что маленький ключ связан с таким большим. И когда человек перешёл по ссылке в qr и активировал бота, то мы по маленькому ключу, который увидели в боте, понял, что человек авторизовался и с какого аккаунта. Тогда мы в таблице, где у нас большой хэш указываем, кому он пренадлежит и пропускаем дальше на сайт. 
Юзаем такую кастомную систему, а не стандартную авторизацию по ТГ. Так же, у qr кода и маленького ключа есть срок жизни, пусть будет 5 минут, после чего он удалится, а на сайте будет пересоздан qr код, чтобы человек мог зайти по новому ключу.
Если человек вошёл на сайт ознакомиться с каталогом, он может это сделать только если он вошёл по qr через ТГ. Без этого у нас по всем каналам доступа его хэш должен ничего не возвращать.
Когда человек вошёл по ТГ он может набивать себе корзину. Но надо сделать проверку, есть ли у нас данные о клиенте кроме tg_id, важен ИНН, то при попытке сделать вместо кнопки сделать заказ, у нас кнопка Подвердить личность. Тогда у нас выскакивает окно, куда надо ввести ИНН. Человек вводит ИНН, мы через сервер идём в 1с и делаем запрос на получение клиента по ИНН, если ответ венул, что такого клиента нет, то даём кнопки Оформиться как клиент Попробовать другой ИНН, а поле ИНН делаем неизменяемым. Если нажали попробовать дургой ИНН, то снова фома куда вводим ИНН. Если же нажали Оформиться как клиент, то выдаём форму, где введённый ранее ИНН уже неизменяемый, а ниже поля с выбором Самозянятый, ИП, ООО и др. Название, ФИО, Телефон. Когда человек ввёл все данные мы их сохраняем у себя в базе, делаем запрос в 1С, и сохраняем в базе 1С нового клиента, получем в ответ id клиента и сохраняем это у себя, для создания заявок. Если же человек ввёл ИНН, мы проверяем, что этот ИНН уже не использован другим юзером в нашей базе, если нет и мы сделали запросрос в 1с и по этому ИНН получили клиента, то данные клиента мы сохраняем у себя и возвращаем человека в оформление корзины, где наша кнопка становится Сделать заказ. То же самое после создания нового клиента, когда он создан, то мы возвращаем его в корзину, чтобы он продолжил оформлять заказ.
</t>
  </si>
  <si>
    <t>Бот и МиниАпп</t>
  </si>
  <si>
    <t>В боте надо сделать приветственное сообщение и кнопку открытия магазина в боте через миниапп, и когда мы открываем через миниапп, то авторизация автоматическая.
Оформить бота до рабочего состояния.</t>
  </si>
  <si>
    <t>История покупок</t>
  </si>
  <si>
    <t>Когда человек оформил заявку, мы должны запомнить, что он заказал, и положить в историю, которая доступна для просмотра и есть кнопка, повторить заказ. 
При нажатии на неё мы положим все товары такие же в каризну, чтобы можно было. оформить такой же заказ. Если не получилось сформировать заказ в точности такой же, написать в блоке дополнительном, что пошло не так, например перечень товаров, которые недоступны или их нет в каталоге.
В истории покупок можно фильтроваться по какому адресу были покупки из выпадающего списка, где можно выбрать все или адреса, которые были добавлены юзером</t>
  </si>
  <si>
    <t>Адрес доставки</t>
  </si>
  <si>
    <t>В адресах доставки, мы должны давать возможность сохранять адреса для заказчика, а как в приложениях доставки, где можно указать адресс, и дать ему название, и если надо, то есть возможность изменить адресс или добавить новый или удалить.
Сделать возможность юзать карту бесплатную, чтобы через точку на карте получать адрес, куда надо доставить, или просто проверку, что такой адрес существует и чтобы это было просто и бесплатно.</t>
  </si>
  <si>
    <t>Рассылка клиентам</t>
  </si>
  <si>
    <t>Нам нужно при запуске бота подтверждать политику конфедициальности данных, иначе рассылку делать незаконно.
Нужна админ панель с логином и паролем, чтобы был главный админ и только у нас и мы могли создавать других админов, которые могут зайти в админ панель для обычных админов.
Для обычных админов будет кастомная панель, там будет поле для ввода текста на рассылку, а так же поле для отправки медиа. 
Если высылаем Медиа, то ограничение по символам по правилам ТГ, если с медиа, то до 1000 символов, если без до 4000. 
У нас ограничения до 10 медиа. 
И важно, чтобы сэкономить на нагрузке, нам надо как-то выслать эти медиа как file_id, для этого мы файлы которые нам загрузили на сервере пытаемся отправить расссылкой по списку нашим клиентам. Как только вышло отправить первому из списка без ошибки, мы полученные file_id берём с самым высоким качеством и теперь всем рассылкам через file_id по всем клиентам.</t>
  </si>
  <si>
    <t>График приёма поставок</t>
  </si>
  <si>
    <t>Если админ панели нет по задачи выше, то сделать:
Нужна админ панель с логином и паролем, чтобы был главный админ и только у нас и мы могли создавать других админов, которые могут зайти в админ панель для обычных админов.
Для обычных админов будет кастомная панель, там будет вкладка "График отгрузок". 
Надо в каком-то удобном виде предоставить календарь, где будут помечены дни отгрузки, это по стандарту ПН/СР/СБ , но надо дать возсожность в этом календаре определённые дни сделать отгружаемыми, а те кторые были отгружаемыми отменить.
Эта таблица станет основной для наших клиентов сайта при выборе, на какую дату они хотят отгрузку, и надо переделать задачу выше, где ПН/СР/СБ зашито в код, на нашу таблицу с графиком. Надо как-то придумать, что мы на год вперёд, можем выбрать и изменить дни отгрузки, и что если мы на заходим даже сюда целый год, мы постоянно обновляли эту таблицу.
Или сделать на 50 лет вперёд записи всех ПН/СР/СБ отгрузками, и давать менять на год вперёд дни. Думаю, 50 лет достаточно. И можно добавить, что при перезагрузки сервера запускать скрипт, который проверяет, если сегодня + 50 лет не заполнены эта даты, или они не дозаполнены до 50 лет, до дозаполнить. Так, напиример, если через год мы перезагрузим сервер, то он заполунит на1 год через 49 лет. Этого будет достаточно.</t>
  </si>
  <si>
    <t>Промокод</t>
  </si>
  <si>
    <t>Тип</t>
  </si>
  <si>
    <t>Скидка %</t>
  </si>
  <si>
    <t>Скидка рубли</t>
  </si>
  <si>
    <t>Число разрешённое использовать</t>
  </si>
  <si>
    <t>Использовано</t>
  </si>
  <si>
    <t>Действует до</t>
  </si>
  <si>
    <t>на одного</t>
  </si>
  <si>
    <t>на всех</t>
  </si>
  <si>
    <t>QVD124LJH</t>
  </si>
  <si>
    <t>23DFDS</t>
  </si>
  <si>
    <t>-</t>
  </si>
  <si>
    <t>План реализации</t>
  </si>
  <si>
    <t>Поясенения</t>
  </si>
  <si>
    <t>Новые функции</t>
  </si>
  <si>
    <t>Система должна формировать новую базу под каждого нового клиента</t>
  </si>
  <si>
    <t>Переработать excel таблицу:
* Сформировать таблицу настроек
Сделать мультиобработку:
* создать таблицу соответствия, что такой франчази имеет такой ключ для работы с такми ID канала и тд, чтобы система могла правильно понять по какой франшизе у нас идёт обработка, при этом система была одна для всех.</t>
  </si>
  <si>
    <t>Таблица для ключей франчайзи на основном акке
VK_group_id -&gt; ключ таблицы с играми -&gt; ключ таблицы со статусами -&gt; Ключ таблицы настроек -&gt; таблица промоодов</t>
  </si>
  <si>
    <t>должна уметь отправлять и принимать сообщения в вк</t>
  </si>
  <si>
    <t xml:space="preserve">must - база </t>
  </si>
  <si>
    <t>интеграция с ВК</t>
  </si>
  <si>
    <t xml:space="preserve">Настроить интеграцию в ВК
Сделайть настройку для франчайзи, чтобы можно было быстро подключить нового </t>
  </si>
  <si>
    <t>Система должна забирать и размещать данные в эксель таблице</t>
  </si>
  <si>
    <t xml:space="preserve">Вынести из sanler:
* ответ на ключи в загадке 3 часа
** в таблице с играми доп поле с ключом
** шаблон ответа на правильный ключ
** шаблон на неверных ключ
* заполнение excel таблицы
Переработать excel таблицу: 1 часа
* Причесать основную таблицу
</t>
  </si>
  <si>
    <t>Система должна вести учет зарегистрированных игроков в эксель</t>
  </si>
  <si>
    <t>Excel:
n8n:</t>
  </si>
  <si>
    <t xml:space="preserve">Статусы:
</t>
  </si>
  <si>
    <t>Система должна принимать из эксель сведения об играх</t>
  </si>
  <si>
    <t>Excel:
* создать лист с перечнем игр, которые менеджер будет заполнять сам
* продумать и прописать структуру этой таблицы
n8n:
* связать таблицу</t>
  </si>
  <si>
    <t>Система должна уметь применять промокоды</t>
  </si>
  <si>
    <t xml:space="preserve">unic - фишка </t>
  </si>
  <si>
    <t>Excel: 1 час
* лист промокодов
* рассчёт скидки
* локика работы с промокодами разных типов (на команду, на одного игрока)
* 
n8n: 3
* при создании новой строки из формы клиента на игру
** проверить введённый промокод на действительность
*** если он многоразовый, то увеличить рядом с промокодом число использоания
*** если промокод привысил число использований, не применять скидку
*** в ответном сообщении после регистрации добавить текст по промокоду, что он принят или отклонён
*** при формировании строки в таблице клиента сделать рассчёт цены с учётом промокода</t>
  </si>
  <si>
    <t>Цена по базе считается как число игроков на стоимость игры, не учитывать ту аномалию из таблицы</t>
  </si>
  <si>
    <t>давать типовые ответы на вопросы</t>
  </si>
  <si>
    <t>Excel: 0,5
* создать и оформить лист Типовых вопросов
n8n: 1 час
* создать типизатор с нейросетью
* подключится к таблице и получить список вопросов и ответов
* сформировать ответ из шаблона
* возможно работа с фото</t>
  </si>
  <si>
    <t>должна уметь направлять платежные сообщения на основе изменений в эксель</t>
  </si>
  <si>
    <t xml:space="preserve">Excel: 0,2
* в настройки добавть време резервной ссылки на оплату
* шаблон ответа
n8n: 2 часа
* отловить строки с нужным статусом
* сформировть ссылку на оплату исходя из настроек
* отправить сообщение клиенту
* изменить статус в таблице </t>
  </si>
  <si>
    <t xml:space="preserve">менять статус после оплаты в таблице игроков </t>
  </si>
  <si>
    <t>должна уметь распределять типы пуш-сообщений</t>
  </si>
  <si>
    <t>должна сообщать о переносах (пушить) МЕНЕДЖЕРУ</t>
  </si>
  <si>
    <t>эскалация</t>
  </si>
  <si>
    <t>должна сообщать о неотвеченных сообщениях/незавершенных чатах</t>
  </si>
  <si>
    <t>n8n:
* отдельный воркфлоу для создания пуша
* создать таблицу для хранинения всех пушей
* поставить тип пуша
** при оплате
** пинг
** менеджеру
* надо ли отменять пуш, если у нас менеджер или клиент написал в чат
* система отмена пушей
Система складирования и оценки сообщений.
Когда у нас нетиповое сообщение, надо понять, нуждается ли данный чат в овтете (оценка через ИИ)
* если ответ нужен, то добавляем в пуш для менеджера, что надо ответить на сообщеине, и пушим раз в N минут, пока не будет ответа менеджера или клиент не напишет
* если ответ не нужен, то ничего не делаем
Важно, надо как-то отсекать сообщения, которые расска от нас, чтобы чат не был помечен, как отвеченый, пока не будет действия от клиента или менеджера.
Менеджеру, в общий чат в ТГ будет каждые N минут направляться сообщение, что надо ответить в чате такому-то клиенту, пока он не ответит в чате, или на данном сообщении не нажмёт кнопку "Отменить", тогда рассылка по этому клиенту прекратится.</t>
  </si>
  <si>
    <t>должна менять число игроков до оплаты и пересоздавать ссылку на оплату</t>
  </si>
  <si>
    <t>Excel: 0,2
* в настройки добавить шаблонное сообщение о изменении игроков
n8n: 2
* классифицировать как попытка изменить число игроков
* если оплатил, то пуш менеджеру
* если не оплатил, то через нейросеть, поменять число и пересоздать ссылку на оплату
* выдать шаблонное сообщение, что изменили и вот ссылка
* поменять статус в таблице</t>
  </si>
  <si>
    <t>должна сообщать о просроченных платежах</t>
  </si>
  <si>
    <t>Excel: 1
* нужно создать таблицу для всех франчайзи с настройкой для них
* Добавить в таблицу пункт с данными платёжной системы
* в таблицу настройки у франчайзи добавить
** шаблон ответа человеку при просроке первый раз
** шаблон ответа человеку при просроке последущие разы
** сколько рассылок делать попыток, при проскроках
n8n: 10
* разработать воркфлоу, который из платёжной системы создаст ссылку на опалту по параметрам
* разработать воркфлоу, который постоянно опрашивает наши ссылки на оплату, чтобы получить обновления статуса и отмены (просрочки)
* рекция на то, что ссылка на оплату просрочилась
** реализовать рассылку клиенту из настроек шаблон
** реализовать рассылку менеджерам в ТГ, что просрочили 
* реализовать число попыток и повторить отправку сообщения с сылокй, если у нас в настройках заложено повторить</t>
  </si>
  <si>
    <t>должна сообщать об отказниках</t>
  </si>
  <si>
    <t>должна сообщать о нетиповом вопросе</t>
  </si>
  <si>
    <t>должна уметь определять тип обращения</t>
  </si>
  <si>
    <t>должна уметь отвечать, подходид ключ для игры или нет</t>
  </si>
  <si>
    <t>Excel: 0,2
* к таблице игр, надо добавить столбец, который будет ключом для доступа к игре
* в таблице настроек добавить типовое сообщение на подходящий ключ
* в таблице настроек добавить типовое сообщение на неподходящий ключ
n8n: 1
* когда человек пишет в чат, первый уровень классификации ведёт в эту ветку
* мы берём этот ключ и проверяем по всем активным и доступным играм в нашем столбце ключей
* если игра есть, то мы в ответ пишем шаблонно сообщение с игрой
* если такого ключа нет из действительных, то типовое сообщение, что ключ не подходит</t>
  </si>
  <si>
    <t>должна уметь направлять ссылку на форму регистрации</t>
  </si>
  <si>
    <t>уметь отправлять сообщение после оплаты с данными о локации и времени</t>
  </si>
  <si>
    <t>Если локация одна, то это решается шаблокнным сообщением.
Если нет, то надо будет сделать рядом с мероприятием столбец, "место, где будет игра"
И при формировании ответ, брать оттуда данные, тогда +1 час</t>
  </si>
  <si>
    <t>после регистрации если нет мест на игру - отправлять в лист ожидания</t>
  </si>
  <si>
    <t>Excel: 2
* сделать работу с числом мест и автоподсчёт, чтобы всё было в Excel
* Добавить настройку шаблона сообщения о перегрузе
n8n: 2 
* проверка на наличие мест
* если мест нету, то шаблонное сообщение, что вы в резерве, можете пока записаться на другую игру.
* если места есть, то в ветку формирования ссылки</t>
  </si>
  <si>
    <t>должна уметь формировать ссылку на оплату (подтягивать из формы регистрации)</t>
  </si>
  <si>
    <t>уметь отправлять ссылку на оплату клиенту (типовое сообщение)</t>
  </si>
  <si>
    <t>отменять пуш, если в чат написал клиент или менеджер</t>
  </si>
  <si>
    <t>Excel: 0,5
* таблица настройки, поле N часов на неотвечание в чате, при подключении менеджера 
n8n: 8
* надо в базу сохранять всю переписку, независимо, от всего, отделяя только сообщения, не реагируя на спам с нашей стороны
* надо сделать систему отката
** если менеджер написал сам в чат, то система никак не риагирует на этот чат в течении N часв. ЧТобы не мешать общению клиента с менеджером</t>
  </si>
  <si>
    <t>уметь отслеживать время неоплаты и отправлять ссылку повторно</t>
  </si>
  <si>
    <t>должна уведомлять об успешной оплате клиента и менеджера</t>
  </si>
  <si>
    <t>уведомлять зарегистрированного игрока за Хч до начала игры</t>
  </si>
  <si>
    <t>Excel: 0,2
* шаблон первой рассылки
* за сколько делать первую рассылку
* шаблон второй рассылки
* за сколько делать вторую рассылку
n8n: 3
* создать воркфлоу который будет постоянно крутиться и проверять внутреннию таблицу
* если мы видим, что до игры осталось N часов, то мы отправляем уведомление всем игрокам 1 рза
* сразу работаем с настройкой несколькоих отправок (у нас будет 2 рассылки до игры)</t>
  </si>
  <si>
    <t>после игры через Х времени запрашивать форму обратной связи</t>
  </si>
  <si>
    <t>Excel:
* шаблон первой рассылки
* за сколько делать первую рассылку
* сделать автоподсчёт, чтобы новые заполненные данные автоматом подтягивались в статистику по обратной связи по игре
n8n: 4
* создать воркфлоу который будет постоянно крутиться и проверять внутреннию таблицу
* если мы видим, что после игры прошло N часов, то мы отправляем уведомление всем игрокам 1 рза
* сразу работаем с настройкой 
* ставим пуш, сколько ждём, пока он не ответит
* надо разработать форму обратной связи
* перекладывать ответ в exel с данными от кого, какая игра и тд
** отдна ссылка может получить несколько результатов, так как игроков в одной команде несколько
* если по игре получили обратную, то надо отправить ответ на неё один раз, пометить в общем excel
* когда ответил, удаляем пуш</t>
  </si>
  <si>
    <t>отвечать типовыми сообщениями на обратную связь</t>
  </si>
  <si>
    <t>уметь пушить клиента, которые не дали обратную связь, и прекращать с ними переписку</t>
  </si>
  <si>
    <t>Excel:
* шаблон повторного запроса
* через сколько часов уточнить
n8n:
* после второго пуша, больше не уведомлять</t>
  </si>
  <si>
    <t>система должна данные из таблицы обратной связи формировать в саммари для руководства</t>
  </si>
  <si>
    <t>Доработать excel</t>
  </si>
  <si>
    <t>должна уметь ставить резерв и предлагать запись на другую игру при превышении лимита на игру</t>
  </si>
  <si>
    <t>отправлять ссылку на оплату клиенту из резерва при освобождении места при изменении статуса резервиста</t>
  </si>
  <si>
    <t>см 23</t>
  </si>
  <si>
    <t>отслеживать время действия ссылки на оплату для резервиста</t>
  </si>
  <si>
    <t>должна прекращать пушить резервиста после 2х неоплаченных попыток</t>
  </si>
  <si>
    <t>см 10</t>
  </si>
  <si>
    <t>пушить менеджера по неоплаченному резервисту</t>
  </si>
  <si>
    <t xml:space="preserve">должна уметь определять тип вопроса </t>
  </si>
  <si>
    <t>должна отправлять типовой ответ на типовой вопрос</t>
  </si>
  <si>
    <t>должна отправлять пуш менеджеру с нетиповым вопросом (сос)</t>
  </si>
  <si>
    <t>должна уметь отправлять пуш менеджеру в случае отказа игрока (сос)</t>
  </si>
  <si>
    <t>должна отслеживать время реакции менеджера на пуш и повторять пуш при заданных условиях</t>
  </si>
  <si>
    <t>Excel:
* 
n8n:
* таблица ожидания ответов в чате
* если чат помечен ИИ как неуждается в ответе, то кладём в нашу таблицу
* пока запись живёт в таблице с пометкой не отвечено, мы каждые N минут пишем в чат ТГ, что надо ответить
** удаляем старое сообщение про один и тот же чат, и высылаем новое
* когда в чат ответил менеджер, мы помечаем как "ответ получен и больше не пушим"
* если менеджер считает, что отвечать не надо, то надо в боте нажать кнопку, Отмена и тогда менеджер перестанет пушить</t>
  </si>
  <si>
    <t xml:space="preserve">Должна прекращать пуш при обработке менеджером сообщения </t>
  </si>
  <si>
    <t>см 14</t>
  </si>
  <si>
    <t>Должна корректно изменять стратегию обработки при ручном изменении данных в эксель таблице</t>
  </si>
  <si>
    <t>неизвестно</t>
  </si>
  <si>
    <t xml:space="preserve">должна корректно возобновлять работу после отключения и подтягивать сообщения, которые накопились с момента отключения? </t>
  </si>
  <si>
    <t>Менеджер</t>
  </si>
  <si>
    <t>Должен иметь возможность формировать справочник игр (время/место/локация/цена/лимит)</t>
  </si>
  <si>
    <t>администрирование</t>
  </si>
  <si>
    <t xml:space="preserve">Должен иметь возможность формировать справочник промокодов (типы промокодов, размеры скидок, порядок применения) </t>
  </si>
  <si>
    <t xml:space="preserve">Должен иметь возможность изменять/формировать справочник шаблонных ответов </t>
  </si>
  <si>
    <t>Должен иметь возможность принимать и закрывать заявки, переданные системой (пуши) из ВК</t>
  </si>
  <si>
    <t>Должен иметь возможность вручную добавлять/удалять игроков и команды с количественным составом в таблице</t>
  </si>
  <si>
    <t>Должен иметь возможность менять статус в таблице резервистов на перевод в игру</t>
  </si>
  <si>
    <t xml:space="preserve">Должен видеть в пуш-сообщении ссылку на сообщение от клиента </t>
  </si>
  <si>
    <t>Должен иметь возможность вручную сформировать ссылку на оплату и отправить клиенту</t>
  </si>
  <si>
    <t>Рук-ль</t>
  </si>
  <si>
    <t>Должен иметь доступ к финансовой отчетности (эквайринг) и количестве заполненных слотов на игры</t>
  </si>
  <si>
    <t>Должен иметь доступ к полному функционалу менеджера</t>
  </si>
  <si>
    <t xml:space="preserve">Должен иметь возможность включать и отключать систему автоматизации </t>
  </si>
  <si>
    <t>Клиент</t>
  </si>
  <si>
    <t>Должен иметь возможность направить вопрос в ВК</t>
  </si>
  <si>
    <t>Должен иметь возможность направить отказ от игры в ВК</t>
  </si>
  <si>
    <t xml:space="preserve">Должен иметь возможность попросить перенести игру </t>
  </si>
  <si>
    <t>Должен иметь возможность направить заявку на игру и заполнить форму регистрации с данными</t>
  </si>
  <si>
    <t xml:space="preserve">Должен иметь возможность оплатить участие по заполненной форме оплаты </t>
  </si>
  <si>
    <t>Должен иметь возможность изменить условия игры (количественный состав, наименование команды)</t>
  </si>
  <si>
    <t>Должен получить подтверждение об оплате и дальнейшие пуш-сообщения о проведении игры</t>
  </si>
  <si>
    <t xml:space="preserve">Должен иметь возможность заполнить форму обратной связи </t>
  </si>
  <si>
    <t>Должен иметь возможность применить промокод (несколько?)</t>
  </si>
  <si>
    <t>Вопрос</t>
  </si>
  <si>
    <t>Игра, где надо угадать шифр, что будет делать?
При угадывании, что мы будем давать человеку? Ссылку на регистрацию на сайт или сразу ссылку на оплату?</t>
  </si>
  <si>
    <t>Где будут храниться данные об играх?
Только на сайте?
Если да, то из каких данных му будем понимать, что надо делать рассылку и на основе каких данных.</t>
  </si>
  <si>
    <t>Эпик</t>
  </si>
  <si>
    <t>Задача</t>
  </si>
  <si>
    <t>Время</t>
  </si>
  <si>
    <t>Получить доступы</t>
  </si>
  <si>
    <t>Доступы:
* google аккаунт
* google sheet тестовое алиби 
* baget
* salebot бот ВК для постинга
* сайт</t>
  </si>
  <si>
    <t>Настройка окружения</t>
  </si>
  <si>
    <t>Багет:
* поднять сервак для принятия сообщений из ВК и пересылки в N8N
* поднять сервак для n8n
* купить и подключить домен
* связать таблицу и n8n
* поднять и подключить постгрес</t>
  </si>
  <si>
    <t>Таблица для работы с франшизами</t>
  </si>
  <si>
    <t>Создать таблицу, где будут подключены для работы все таблицы франшиз</t>
  </si>
  <si>
    <t>Переферия для сайта</t>
  </si>
  <si>
    <t>Нужно создать webhooks для сайта:
* заполнение новой формы на игру
* запуск рассылки по игре
* обращение к промокодам
*</t>
  </si>
  <si>
    <t>Подключение ВК</t>
  </si>
  <si>
    <t>Нужно развернуть инструмент, чтобы он пересылал все сообщения из ВК в n8n
Критерии:
* пересылает все сообщения, которые приходят в чат
* отправляет событие, что. отправлено фото, аудио или другое медиа
* сам стучится в вэбхук при появлении нового сообщения
* по вэбхуку получать список чатов, которые надо подключать и нонстоп держать подключение
* вести логи, чтобы можно было отследить, когда пропадает связь и происходят ошибки</t>
  </si>
  <si>
    <t>Пересобрать таблицу Алиби</t>
  </si>
  <si>
    <t xml:space="preserve">Работа с таблицей:
* переделать страницы:
** регистрация на игру
** промокоды
** типовые вопросы
** обратная связь
** настройки
По итогу каждая страница должна иметь общий вид, как она будет работать </t>
  </si>
  <si>
    <t>Отсеевание рекламных сообщений</t>
  </si>
  <si>
    <t>Все рассылки, которые мы будем рассылать, надо как-то помечать и не образать на них внимание.</t>
  </si>
  <si>
    <t>Типизация входящих сообщений</t>
  </si>
  <si>
    <t>Все сообщения через ВК должны быть типизированы, чтобы понять, в какую ветку реагирования их отправить:
* вопррос
* код игры
* отмена
* уменьшение числа игроков
* агрессия
* просьба поговорить с менеджером
Дальше, каждая ветка является самостоятельной разработкой.</t>
  </si>
  <si>
    <t>Останавливать агента, если написал не человек или у нас SOS на время указанное в таблице excel</t>
  </si>
  <si>
    <t>Логика такая:
Если человек нам пишет, то мы должны оценить что он написал и как-то отреагировать ему в ответ или перейти в режим SOS и просить менеджера поделючится.
Если мы прибегли к сигналу SOS, надо запретить нашему инструменту как либо реагировать на этот чат на N число времени.
Или же, если в переписку напишет не бот, а менеджер, то бот так же перестанет работать с этим чатом на N количество времени.
Это нужно, чтобы если мы запросили помощь менеджера, или он сам написал в чат, наш инструмент не мешал диалогу менеджера с клиентом.
Критерии:
* не реагировать на наши рассылки
* если мы не ответили, то копить сообщения, которые нам приходят
* копить сообщеня, даже если реакция на них остановлена
* через N число времени начать реагировать на чат, имея всю историю переписки
* если мы не реагируем на сообщения, то пингуем менеджера, что чат требует реакции, пока не получим реакцию в виде сообщения менеджера, либо менеджер не нажмёт в ТГ на кнопку "реакция не требуется"</t>
  </si>
  <si>
    <t>Типовые вопросы</t>
  </si>
  <si>
    <t xml:space="preserve">На странице типовых вопросов будут лежать вопросы и ответы.
Если мы попали после типизации в вопросы, то нам надо заново типизировать вопрос, но уже на освне списка типовых вопросов и понять, если ли у нас ответ на этот вопрос. Если есть, то ответить типовым ответом. Если нету, то SOS. </t>
  </si>
  <si>
    <t>Обработка платежей и их статусы</t>
  </si>
  <si>
    <t>Надо подключится к выбранному эквайренгу и сделать обвязку.
1) Воркфлоу по созданию ссылки на оплату по заданным данным
2) В цикле прогонять все ссылки, которые мы создали и реагировать на стаусы оплаты и отмены
2.1) Если оплата, то воркфлоу оплаты
2.2) Если отмена, то воркфлоу отмены</t>
  </si>
  <si>
    <t>Создание ссылки на оплату при изменении статуса в таблице</t>
  </si>
  <si>
    <t>В таблице с записью на игру, сделать реакцию, если у строки статус будет стоить "Создать ссылку на оплату", то меняем статус у этой строки и на "Ожидает оплаты" и в столбце для ссылке создаём туда ссылку на оплату по параметрам из настройки. После чего высылает шаблонное сообщение с ссылкой клиенту. Дальше на оплату и не оплату реагируем как со стандартной ссылкой.</t>
  </si>
  <si>
    <t>Автоответ при просрочке платежа</t>
  </si>
  <si>
    <t>У нас будет в настройке N число времени, сколько будет жить ссылка, когда ссылка протухает, мы это видим и отправляем шаблонное сообщение, что ссылка просрочена и даём новую ссылку. Если и она просрачивается, то кидаем SOS менеджеру. Всё это через шаблонные сообщения.</t>
  </si>
  <si>
    <t>Автоответ на оплату</t>
  </si>
  <si>
    <t>Если клиент оплатил, то мы создаём автоответ из шаблона.</t>
  </si>
  <si>
    <t>Работа с формой регистрации с сайта</t>
  </si>
  <si>
    <t>Когда человек зарегистрировался на игру, мы должны получить с сайта форму с данными регистрации на игру.
Мы должны занести эти данные в таблицу и ответить сайту, что всё ок. 
После этого мы должны запустить инструмент и создать ссылку для клиента на оплату и из шаблонного сообщения ему ответить</t>
  </si>
  <si>
    <t>Промокоды</t>
  </si>
  <si>
    <t>Нужно создать лист промодов.
Промокоды будут вносится руками в эксель менеджерами.
При формировании оплаты, мы должны с сайта получить, какой промокод был задействован.
В таблице промокодов пометить, что данный промокод был задействован +1 раз.</t>
  </si>
  <si>
    <t>Система пушей</t>
  </si>
  <si>
    <t>У нас должна быть таблица, где мы будем ставить в очередь пуш уведомление. 
Должен быть тип (отменяемый и неотменяемый).
Отменяемые уведомления должны все удаляться для этого клиента, если в чат написал клиент или менеджер.
Неудаляемые долджны приходить вне зависимости от переписке в чате.</t>
  </si>
  <si>
    <t>Работа с игрой и шифрами</t>
  </si>
  <si>
    <t>У нас после типизации есть ветка игр, когда пытаются вставить шифр.
Мы должны обратиться в нашу таблицу шифров, и если там есть совпадение, то выдавать промокод который указан рядом.</t>
  </si>
  <si>
    <t>Рассылка о начале игры</t>
  </si>
  <si>
    <t>Это будет сделано через сайт. На нашей стороне, мы поднимим вэбхук и сайт будет сам в нужное время обращаться к нам с данными о расссылке, и мы будем по игре всем участникам делать рассылку.</t>
  </si>
  <si>
    <t>Рассылка об обратной связи</t>
  </si>
  <si>
    <t>Тоже надо сделать через сайт по аналогии с "Рассылка о начале игры". Данные вводятся на сайте и рассылка по опросу будет высылаться. Но результат будет в экселе.</t>
  </si>
  <si>
    <t>Система SOS для менеджеров</t>
  </si>
  <si>
    <t>Надо создать отдельный воркфлоу, в котором мы будем создавать сос:
1) Бот перестаёт реагировать в чате на N времени
2) В таблице создаётся запись, что надо пингануть менеджеру.
3) через таблицу, раз 3 минуты мы пишем в чат сообщения, что надо отреагировать, чтобы менеджеры постоянно получали уведомление, пока не отреагируют</t>
  </si>
  <si>
    <t>Искользовано раз</t>
  </si>
  <si>
    <t>ID</t>
  </si>
  <si>
    <t>Статус</t>
  </si>
  <si>
    <t>Вы ранее играли в Alibi?</t>
  </si>
  <si>
    <t>Название вашей команды:</t>
  </si>
  <si>
    <t>Количество игроков в команде:</t>
  </si>
  <si>
    <t>Цена за игру</t>
  </si>
  <si>
    <t>Скидка</t>
  </si>
  <si>
    <t>Итоговая цена</t>
  </si>
  <si>
    <t>Телефона капитана:</t>
  </si>
  <si>
    <t>Откуда Вы узнали о Alibi?</t>
  </si>
  <si>
    <t>Комментарий, промокод, пожелания по размещению:</t>
  </si>
  <si>
    <t>Расследование:</t>
  </si>
  <si>
    <t>Дата регистрации</t>
  </si>
  <si>
    <t>Пользователь / UTM</t>
  </si>
  <si>
    <t>Согласие на обработку ПД</t>
  </si>
  <si>
    <t>Оплачено</t>
  </si>
  <si>
    <t>Э - энтеллект</t>
  </si>
  <si>
    <t>24 января, 16:00 — "Конечная станция" (секретное место, м. Сенная)</t>
  </si>
  <si>
    <r>
      <rPr>
        <rFont val="-apple-system, BlinkMacSystemFont, Roboto, &quot;Open Sans&quot;, &quot;Helvetica Neue&quot;, sans-serif"/>
        <color rgb="FF1155CC"/>
        <u/>
      </rPr>
      <t>Женёчек</t>
    </r>
    <r>
      <rPr>
        <rFont val="-apple-system"/>
        <color rgb="FF1155CC"/>
        <u/>
      </rPr>
      <t xml:space="preserve"> Женечка</t>
    </r>
  </si>
  <si>
    <t>Согласен</t>
  </si>
  <si>
    <t>Да</t>
  </si>
  <si>
    <t>Вкусные булочки</t>
  </si>
  <si>
    <r>
      <rPr>
        <rFont val="-apple-system, BlinkMacSystemFont, Roboto, &quot;Open Sans&quot;, &quot;Helvetica Neue&quot;, sans-serif"/>
        <color rgb="FF1155CC"/>
        <u/>
      </rPr>
      <t>Ордина</t>
    </r>
    <r>
      <rPr>
        <rFont val="-apple-system"/>
        <color rgb="FF1155CC"/>
        <u/>
      </rPr>
      <t xml:space="preserve"> Арина</t>
    </r>
  </si>
  <si>
    <t>Герои</t>
  </si>
  <si>
    <r>
      <rPr>
        <rFont val="-apple-system, BlinkMacSystemFont, Roboto, &quot;Open Sans&quot;, &quot;Helvetica Neue&quot;, sans-serif"/>
        <color rgb="FF1155CC"/>
        <u/>
      </rPr>
      <t>Семенова</t>
    </r>
    <r>
      <rPr>
        <rFont val="-apple-system"/>
        <color rgb="FF1155CC"/>
        <u/>
      </rPr>
      <t xml:space="preserve"> Виктория</t>
    </r>
  </si>
  <si>
    <t>Отменён</t>
  </si>
  <si>
    <t>Часть команды</t>
  </si>
  <si>
    <t>Туса у Дрюса</t>
  </si>
  <si>
    <t>Ест один сертификат на одного участника</t>
  </si>
  <si>
    <r>
      <rPr>
        <rFont val="-apple-system, BlinkMacSystemFont, Roboto, &quot;Open Sans&quot;, &quot;Helvetica Neue&quot;, sans-serif"/>
        <color rgb="FF1155CC"/>
        <u/>
      </rPr>
      <t>Игнатенко</t>
    </r>
    <r>
      <rPr>
        <rFont val="-apple-system"/>
        <color rgb="FF1155CC"/>
        <u/>
      </rPr>
      <t xml:space="preserve"> Александр</t>
    </r>
  </si>
  <si>
    <t>Ежиный переполох</t>
  </si>
  <si>
    <t>Посадите нас так же в дальнем зале, пожалуйста 🌸, один бесплатно, электронная проходка</t>
  </si>
  <si>
    <r>
      <rPr>
        <rFont val="-apple-system, BlinkMacSystemFont, Roboto, &quot;Open Sans&quot;, &quot;Helvetica Neue&quot;, sans-serif"/>
        <color rgb="FF1155CC"/>
        <u/>
      </rPr>
      <t>Федяева</t>
    </r>
    <r>
      <rPr>
        <rFont val="-apple-system"/>
        <color rgb="FF1155CC"/>
        <u/>
      </rPr>
      <t xml:space="preserve"> Надежда</t>
    </r>
  </si>
  <si>
    <t>Киска Познера</t>
  </si>
  <si>
    <r>
      <rPr>
        <rFont val="-apple-system, BlinkMacSystemFont, Roboto, &quot;Open Sans&quot;, &quot;Helvetica Neue&quot;, sans-serif"/>
        <color rgb="FF1155CC"/>
        <u/>
      </rPr>
      <t>Гордеева</t>
    </r>
    <r>
      <rPr>
        <rFont val="-apple-system"/>
      </rPr>
      <t xml:space="preserve"> Лиза 411838</t>
    </r>
  </si>
  <si>
    <t>600 рапторят</t>
  </si>
  <si>
    <r>
      <rPr>
        <rFont val="-apple-system, BlinkMacSystemFont, Roboto, &quot;Open Sans&quot;, &quot;Helvetica Neue&quot;, sans-serif"/>
        <color rgb="FF1155CC"/>
        <u/>
      </rPr>
      <t>Бочкарева</t>
    </r>
    <r>
      <rPr>
        <rFont val="-apple-system"/>
      </rPr>
      <t xml:space="preserve"> Катя 411838</t>
    </r>
  </si>
  <si>
    <t>https://....</t>
  </si>
  <si>
    <t>Ожидаем оплату по резервной ссылке</t>
  </si>
  <si>
    <t>Инкогнито</t>
  </si>
  <si>
    <t>SRR30</t>
  </si>
  <si>
    <r>
      <rPr>
        <rFont val="-apple-system, BlinkMacSystemFont, Roboto, &quot;Open Sans&quot;, &quot;Helvetica Neue&quot;, sans-serif"/>
        <color rgb="FF1155CC"/>
        <u/>
      </rPr>
      <t>Становова</t>
    </r>
    <r>
      <rPr>
        <rFont val="-apple-system"/>
        <color rgb="FF1155CC"/>
        <u/>
      </rPr>
      <t xml:space="preserve"> Наташа</t>
    </r>
  </si>
  <si>
    <t>Нет</t>
  </si>
  <si>
    <t>Сообразим</t>
  </si>
  <si>
    <t>Никитин Александр</t>
  </si>
  <si>
    <t>Убийца дворецкий</t>
  </si>
  <si>
    <r>
      <rPr>
        <rFont val="-apple-system, BlinkMacSystemFont, Roboto, &quot;Open Sans&quot;, &quot;Helvetica Neue&quot;, sans-serif"/>
        <color rgb="FF1155CC"/>
        <u/>
      </rPr>
      <t>Алексеева</t>
    </r>
    <r>
      <rPr>
        <rFont val="-apple-system"/>
        <color rgb="FF1155CC"/>
        <u/>
      </rPr>
      <t xml:space="preserve"> Елена</t>
    </r>
  </si>
  <si>
    <t>МасьАля</t>
  </si>
  <si>
    <r>
      <rPr>
        <rFont val="-apple-system, BlinkMacSystemFont, Roboto, &quot;Open Sans&quot;, &quot;Helvetica Neue&quot;, sans-serif"/>
        <color rgb="FF1155CC"/>
        <u/>
      </rPr>
      <t>Демченко</t>
    </r>
    <r>
      <rPr>
        <rFont val="-apple-system"/>
        <color rgb="FF1155CC"/>
        <u/>
      </rPr>
      <t xml:space="preserve"> Юлия</t>
    </r>
  </si>
  <si>
    <t>Котики</t>
  </si>
  <si>
    <t>WLCM30</t>
  </si>
  <si>
    <r>
      <rPr>
        <rFont val="-apple-system, BlinkMacSystemFont, Roboto, &quot;Open Sans&quot;, &quot;Helvetica Neue&quot;, sans-serif"/>
        <color rgb="FF1155CC"/>
        <u/>
      </rPr>
      <t>Литвинова</t>
    </r>
    <r>
      <rPr>
        <rFont val="-apple-system"/>
        <color rgb="FF1155CC"/>
        <u/>
      </rPr>
      <t xml:space="preserve"> Даша</t>
    </r>
  </si>
  <si>
    <t>Дети Пилы</t>
  </si>
  <si>
    <t>ДР ПОЛИНА</t>
  </si>
  <si>
    <r>
      <rPr>
        <rFont val="-apple-system, BlinkMacSystemFont, Roboto, &quot;Open Sans&quot;, &quot;Helvetica Neue&quot;, sans-serif"/>
        <color rgb="FF1155CC"/>
        <u/>
      </rPr>
      <t>Константинова</t>
    </r>
    <r>
      <rPr>
        <rFont val="-apple-system"/>
        <color rgb="FF1155CC"/>
        <u/>
      </rPr>
      <t xml:space="preserve"> Ольга</t>
    </r>
  </si>
  <si>
    <t>могло быть и хуже</t>
  </si>
  <si>
    <t>25 января, 18:30 — "Конечная станция" (секретное место, м. Восстания)</t>
  </si>
  <si>
    <r>
      <rPr>
        <rFont val="-apple-system, BlinkMacSystemFont, Roboto, &quot;Open Sans&quot;, &quot;Helvetica Neue&quot;, sans-serif"/>
        <color rgb="FF1155CC"/>
        <u/>
      </rPr>
      <t>К</t>
    </r>
    <r>
      <rPr>
        <rFont val="-apple-system"/>
        <color rgb="FF1155CC"/>
        <u/>
      </rPr>
      <t xml:space="preserve"> Жаклин</t>
    </r>
  </si>
  <si>
    <t>Детективные киски</t>
  </si>
  <si>
    <t>8-953-346-30-19</t>
  </si>
  <si>
    <r>
      <rPr>
        <rFont val="-apple-system, BlinkMacSystemFont, Roboto, &quot;Open Sans&quot;, &quot;Helvetica Neue&quot;, sans-serif"/>
        <color rgb="FF1155CC"/>
        <u/>
      </rPr>
      <t>Ионова</t>
    </r>
    <r>
      <rPr>
        <rFont val="-apple-system"/>
        <color rgb="FF1155CC"/>
        <u/>
      </rPr>
      <t xml:space="preserve"> Елизавета</t>
    </r>
  </si>
  <si>
    <t>Шустрики</t>
  </si>
  <si>
    <t>один бесплатно электронная проходка</t>
  </si>
  <si>
    <r>
      <rPr>
        <rFont val="-apple-system, BlinkMacSystemFont, Roboto, &quot;Open Sans&quot;, &quot;Helvetica Neue&quot;, sans-serif"/>
        <color rgb="FF1155CC"/>
        <u/>
      </rPr>
      <t>Степанова</t>
    </r>
    <r>
      <rPr>
        <rFont val="-apple-system"/>
        <color rgb="FF1155CC"/>
        <u/>
      </rPr>
      <t xml:space="preserve"> Наталья</t>
    </r>
  </si>
  <si>
    <t>Внуки Пуаро и Марпл</t>
  </si>
  <si>
    <r>
      <rPr>
        <rFont val="-apple-system, BlinkMacSystemFont, Roboto, &quot;Open Sans&quot;, &quot;Helvetica Neue&quot;, sans-serif"/>
        <color rgb="FF1155CC"/>
        <u/>
      </rPr>
      <t>Адаменко</t>
    </r>
    <r>
      <rPr>
        <rFont val="-apple-system"/>
        <color rgb="FF1155CC"/>
        <u/>
      </rPr>
      <t xml:space="preserve"> Наталия</t>
    </r>
  </si>
  <si>
    <t>ID участника</t>
  </si>
  <si>
    <t>Имя опрашиваемого</t>
  </si>
  <si>
    <t>Игра</t>
  </si>
  <si>
    <t>Оценка 1</t>
  </si>
  <si>
    <t>Оценка 2</t>
  </si>
  <si>
    <t>Оценка 3</t>
  </si>
  <si>
    <t>Оценка 4</t>
  </si>
  <si>
    <t>Оценка 5</t>
  </si>
  <si>
    <t>Оценка 6</t>
  </si>
  <si>
    <t>Оценка 7</t>
  </si>
  <si>
    <t>Название нстройки</t>
  </si>
  <si>
    <t>Данные</t>
  </si>
  <si>
    <t>не менять чтобы сравнивать со стартом</t>
  </si>
  <si>
    <t>Расписание событий (входят в конкретный Sprint)
Спринт (14 дней)</t>
  </si>
  <si>
    <t>№</t>
  </si>
  <si>
    <t>Backlog (драфт)</t>
  </si>
  <si>
    <t>Агент (драфт)</t>
  </si>
  <si>
    <t>Функция (драфт)</t>
  </si>
  <si>
    <t>№ US</t>
  </si>
  <si>
    <t>Бэклог</t>
  </si>
  <si>
    <t>Роль</t>
  </si>
  <si>
    <t>Пользовательская история</t>
  </si>
  <si>
    <t>Актуальная оценка</t>
  </si>
  <si>
    <t>Как было</t>
  </si>
  <si>
    <t>Реализовано на фронте Глеб</t>
  </si>
  <si>
    <t>Реализовано на фронте Роман</t>
  </si>
  <si>
    <t>1-1</t>
  </si>
  <si>
    <t>должен иметь возможность зарегистрироваться по email или номеру телефона, чтобы получить доступ к аккаунту.</t>
  </si>
  <si>
    <t>Это не фронт</t>
  </si>
  <si>
    <t>1-2</t>
  </si>
  <si>
    <t>должен иметь возможность получить код подтверждения на email и на телефон, чтобы подтвердить свои контактные данные.</t>
  </si>
  <si>
    <t>1-3</t>
  </si>
  <si>
    <t>должен иметь возможность придумать и задать свой пароль при регистрации, чтобы обеспечить безопасность входа.</t>
  </si>
  <si>
    <t>1-4</t>
  </si>
  <si>
    <t>должен иметь возможность войти с помощью Yandex ID или VK, чтобы не создавать отдельный пароль и ускорить процесс.</t>
  </si>
  <si>
    <t>1-5</t>
  </si>
  <si>
    <t>должен иметь возможность восстановить забытый пароль по ссылке на email, чтобы безопасно вернуть доступ к аккаунту.</t>
  </si>
  <si>
    <t>1-6</t>
  </si>
  <si>
    <t>должен иметь возможность пропустить шаги (название компании, сайт, роль, телефон, центр уведомлений) с пометкой «настроить позже», чтобы быстрее завершить регистрацию.</t>
  </si>
  <si>
    <t>1-7</t>
  </si>
  <si>
    <t>Владелец (первый пользователь)</t>
  </si>
  <si>
    <t>должен иметь возможность зарегистрироваться по email и автоматически получить права владельца, чтобы управлять рабочим пространством.</t>
  </si>
  <si>
    <t>1-8</t>
  </si>
  <si>
    <t>Владелец</t>
  </si>
  <si>
    <t>должен иметь возможность отправлять ссылки-приглашения другим пользователям, чтобы добавить их в своё рабочее пространство с разными ролями.</t>
  </si>
  <si>
    <t>1-9</t>
  </si>
  <si>
    <t>должна автоматически создавать изолированное рабочее пространство (workspace) для нового владельца после первой регистрации, чтобы данные разных компаний не смешивались.</t>
  </si>
  <si>
    <t>1-10</t>
  </si>
  <si>
    <t>Администратор / Менеджер</t>
  </si>
  <si>
    <t>должен иметь возможность работать внутри workspace с разграниченными правами доступа, чтобы владелец мог управлять обязанностями команды.</t>
  </si>
  <si>
    <t>1-11</t>
  </si>
  <si>
    <t>Приглашённый пользователь</t>
  </si>
  <si>
    <t>должен иметь возможность перейти по ссылке-приглашению и быть добавленным в существующее workspace владельца, чтобы не создавать новое пространство.</t>
  </si>
  <si>
    <t>1-12</t>
  </si>
  <si>
    <t>должен иметь возможность по завершении регистрации попасть на главную страницу в раздел «Старт», чтобы сразу видеть основные действия.</t>
  </si>
  <si>
    <t>Старт сессии (Onboarding)</t>
  </si>
  <si>
    <t>2-1</t>
  </si>
  <si>
    <t>должен иметь возможность через пункт глобального меню «Старт» открыть диалоговое окно с ИИ-агентом, чтобы начать формирование новой сессии лидогенерации.</t>
  </si>
  <si>
    <t>2-2</t>
  </si>
  <si>
    <t>должен иметь возможность в диалоговом окне пройти опрос по сценарию (информация о компании, продукте, товаре), чтобы ИИ собрал необходимые данные.</t>
  </si>
  <si>
    <t>2-3</t>
  </si>
  <si>
    <t>должен иметь возможность в режиме диалога передать системе информацию о компании, продукте/услуге и целевых клиентах, чтобы система автоматически сформировала промты для новой сессии.</t>
  </si>
  <si>
    <t>2-4</t>
  </si>
  <si>
    <t>должна автоматически формировать негативные промты (исключения) по товарам/услугам и группам клиентов, чтобы не предлагать нерелевантные варианты.</t>
  </si>
  <si>
    <t>2-5</t>
  </si>
  <si>
    <t>должен иметь возможность просмотреть финальные промты, согласовать их и внести дополнения в режиме диалога, чтобы уточнить настройки перед запуском.</t>
  </si>
  <si>
    <t>2-6</t>
  </si>
  <si>
    <t>должен иметь возможность при отсутствии настроенного центра уведомлений получить предложение настроить его, объяснение зачем он нужен, и авторизоваться в мессенджере (ВК/ТГ/Макс), чтобы получать уведомления.</t>
  </si>
  <si>
    <t>Все - 36</t>
  </si>
  <si>
    <t>2-7</t>
  </si>
  <si>
    <t>в диалоговом окне дать команду "создать Проект"</t>
  </si>
  <si>
    <t>2-8</t>
  </si>
  <si>
    <t>должен иметь возможность в диалоговом окне дать команду «Создать Проект», чтобы инициировать создание новой сессии.</t>
  </si>
  <si>
    <t>2-9</t>
  </si>
  <si>
    <t>должна по команде пользователя создать новую сущность в разделе «Проекты», создать пункт второго уровня в INBOX и перевести пользователя в пространство созданной сессии (Проект), чтобы он сразу начал работу.</t>
  </si>
  <si>
    <t>2-10</t>
  </si>
  <si>
    <t>должен иметь возможность при повторном входе после создания сессии создать новую сессию, чтобы запускать несколько проектов.</t>
  </si>
  <si>
    <t>2-11</t>
  </si>
  <si>
    <t>должна при выходе пользователя из незаконченной настройки сохранять место остановки, чтобы данные не потерялись.</t>
  </si>
  <si>
    <t>2-12</t>
  </si>
  <si>
    <t>должен иметь возможность при возвращении продолжить настройку с того места, где остановился, чтобы не проходить опрос заново.</t>
  </si>
  <si>
    <t>3-1</t>
  </si>
  <si>
    <t>Проекты (сессии)</t>
  </si>
  <si>
    <t>должен иметь возможность через пункт глобального меню «Проекты» видеть список всех сессий с их статусами (активен, пауза, черновик) и при нажатии открывать окно нужного проекта, чтобы управлять своими сессиями.</t>
  </si>
  <si>
    <t>3-2</t>
  </si>
  <si>
    <t>должен иметь возможность в окне проекта переключаться между вкладками (обработка, анализ, настройка), чтобы работать с разными аспектами сессии.</t>
  </si>
  <si>
    <t>3-3</t>
  </si>
  <si>
    <t>Проекты → Источники лидов</t>
  </si>
  <si>
    <t>должен иметь возможность во вкладке «Источники лидов» видеть группы/сообщества в разрезе платформ, настраивать их через ИИ или вручную (режим «эксперт»), чтобы управлять базами поиска.</t>
  </si>
  <si>
    <t>3-4</t>
  </si>
  <si>
    <t>должна уметь формировать базы поиска лидов в Telegram (функция по умолчанию), чтобы пользователь сразу мог работать с ТГ.</t>
  </si>
  <si>
    <t>3-5</t>
  </si>
  <si>
    <t>должна уметь формировать базы поиска лидов в ВК (функция по умолчанию), чтобы пользователь сразу мог работать с ВКонтакте.</t>
  </si>
  <si>
    <t>3-6</t>
  </si>
  <si>
    <t>должна на основе промтов из раздела «Старт» автоматически сформировать первый промт для поиска базы лидов, чтобы пользователю не нужно было вводить данные заново.</t>
  </si>
  <si>
    <t>3-7</t>
  </si>
  <si>
    <t>должна ранжировать группы по признакам (активность, боты, язык) и присваивать скоринговый балл, чтобы оценить качество источников.</t>
  </si>
  <si>
    <t>3-8</t>
  </si>
  <si>
    <t>должна по умолчанию (если иные платформы не подключены) на базе промтов из «Старт» автоматически сформировать список сообществ для поиска лидов с учётом скоринга чистоты и активности для ТГ и ВК, чтобы пользователь получил стартовый набор источников.</t>
  </si>
  <si>
    <t>Балл по умолчанию: 60 для ТГ - Глеб остальные 4 на тесты</t>
  </si>
  <si>
    <t>3-9</t>
  </si>
  <si>
    <t>должна при формировании базы присваивать скоринговый балл каждому сообществу/группе, чтобы пользователь мог оценить их качество.</t>
  </si>
  <si>
    <t>3-10</t>
  </si>
  <si>
    <t>должен иметь возможность фильтровать сообщества по признаку скорингового бала (подключать/отключать), чтобы оставлять только качественные источники.</t>
  </si>
  <si>
    <t>3-11</t>
  </si>
  <si>
    <t>должна отображать отчёт по итогам формирования базы лидов в разрезе каждой платформы, чтобы пользователь видел результаты.</t>
  </si>
  <si>
    <t>3-12</t>
  </si>
  <si>
    <t>должна при активации новой платформы в активной сессии автоматически сформировать/добавить список сообществ для поиска лидов с учётом скоринга, чтобы пользователь сразу получал источники на новой платформе.</t>
  </si>
  <si>
    <t>3-13</t>
  </si>
  <si>
    <t>должен иметь возможность в любой момент активировать или докупить новую платформу, чтобы расширить источники лидов.</t>
  </si>
  <si>
    <t>3-14</t>
  </si>
  <si>
    <t>должен иметь возможность через диалоговое окно ИИ корректировать промты (на поиск групп, негативные фильтры и т.д.), чтобы уточнять поиск.</t>
  </si>
  <si>
    <t>3-15</t>
  </si>
  <si>
    <t>должен иметь возможность через диалоговое окно ИИ добавлять группы/сообщества «от пользователя» по ссылке или наименованию (в том числе списком), чтобы вручную расширять базу источников.</t>
  </si>
  <si>
    <t>3-16</t>
  </si>
  <si>
    <t>должна уметь осуществлять поиск по заданным группам/каналам Telegram, чтобы находить лидов внутри выбранных источников.</t>
  </si>
  <si>
    <t>3-17</t>
  </si>
  <si>
    <t>должна уметь осуществлять поиск по заданным группам/каналам ВК, чтобы находить лидов внутри выбранных источников.</t>
  </si>
  <si>
    <t>3-18</t>
  </si>
  <si>
    <t>должен иметь возможность во вкладке платформы видеть и управлять: перечнем каналов, окном ИИ для настройки, расширенными настройками (скоринг, качество лидов, частота обновлений, срок поиска в днях/количестве лидов), чтобы тонко настраивать поиск.</t>
  </si>
  <si>
    <t>3-19</t>
  </si>
  <si>
    <t>должен не иметь возможность перейти в группу/канал из списка (переход запрещён), чтобы не покинуть интерфейс системы и не входить в группу/канал самостоятельно за пределами системы.</t>
  </si>
  <si>
    <t>3-20</t>
  </si>
  <si>
    <t>должна вести статистику по каждому каналу (количество дней в поиске, обработано сообщений, отобрано лидов) и отображать её в строке канала с цветовой индикацией конверсии (красный/жёлтый/зелёный), чтобы пользователь оценивал эффективность каналов.</t>
  </si>
  <si>
    <t>3-21</t>
  </si>
  <si>
    <t>должен иметь возможность сортировать и фильтровать список каналов вручную (по сроку в поиске, обработанным сообщениям, переданным лидам, балу качества, проценту конверсии), чтобы быстро находить нужные каналы.</t>
  </si>
  <si>
    <t>3-22</t>
  </si>
  <si>
    <t>должен иметь возможность выделять один/часть/все каналы и выполнять групповые операции (включить/выключить/удалить), чтобы массово управлять источниками.</t>
  </si>
  <si>
    <t>3-23</t>
  </si>
  <si>
    <t>должен иметь возможность отключить (или включить ранее отключённую) платформу, исключая её из поиска, без путаницы с неактивной/некупленной, чтобы гибко управлять активными платформами.</t>
  </si>
  <si>
    <t>3-24</t>
  </si>
  <si>
    <t>Проекты → Продукт</t>
  </si>
  <si>
    <t>должен иметь возможность во вкладке «Продукт» видеть сведения о продукте/услуге и настраивать их через ИИ или вручную (режим «эксперт»), чтобы корректно настраивать предложение для лидов.</t>
  </si>
  <si>
    <t>3-25</t>
  </si>
  <si>
    <t>должна на основе данных из раздела «Старт» формировать промт на продукт и осуществлять поиск на активных платформах, чтобы автоматически находить релевантных лидов.</t>
  </si>
  <si>
    <t>3-26</t>
  </si>
  <si>
    <t>должен иметь возможность через диалоговое окно ИИ корректировать промты (на продукт, негативные фильтры), чтобы уточнять поиск под продукт.</t>
  </si>
  <si>
    <t>3-27</t>
  </si>
  <si>
    <t>должен иметь возможность через диалоговое окно ИИ запросить резюме — текущие настройки сессии (промты на поиск товара/услуг и фильтры), чтобы видеть сводку.</t>
  </si>
  <si>
    <t>3-28</t>
  </si>
  <si>
    <t>Проекты → Шаблоны сообщений</t>
  </si>
  <si>
    <t>должен иметь возможность хранить шаблоны сообщений для первого и/или последующих типовых  контактов с лидом, чтобы быстро отправлять типовые сообщения.</t>
  </si>
  <si>
    <t>3-29</t>
  </si>
  <si>
    <t>должен иметь возможность при переходе по ссылке на чат лида уже видеть сообщение в строке ввода, готовое к отправке, чтобы ускорить первый контакт.</t>
  </si>
  <si>
    <t>3-30</t>
  </si>
  <si>
    <t>должен иметь возможность изменить содержание любого материала/шаблона, чтобы адаптировать сообщения под ситуацию.</t>
  </si>
  <si>
    <t>3-31</t>
  </si>
  <si>
    <t>Проекты → Дашборд</t>
  </si>
  <si>
    <t>должен иметь возможность во вкладке «Дашборд» видеть отчёты, графики, диаграммы и метрики (как предустановленные, так и настраиваемые), чтобы анализировать эффективность сессии.</t>
  </si>
  <si>
    <t>Богдан: ответственный за метрики</t>
  </si>
  <si>
    <t>должна освещать статистику по оработке лидов / в разрезе платформ</t>
  </si>
  <si>
    <t>3-32</t>
  </si>
  <si>
    <t>должна отображать статистику по обработке лидов в разрезе платформ, чтобы пользователь видел вклад каждой платформы.</t>
  </si>
  <si>
    <t>3-33</t>
  </si>
  <si>
    <t>должен иметь возможность подключать предустановленные счётчики и фильтровать данные (по периодам, платформам, стратегиям, этапам), чтобы настраивать отображение аналитики под свои задачи.</t>
  </si>
  <si>
    <t>4-1</t>
  </si>
  <si>
    <t>Inbox (Все сессии)</t>
  </si>
  <si>
    <t>должен иметь возможность через пункт глобального меню «Inbox (Все)» видеть общий список всех входящих лидов из всех сессий, отсортированных по этапам обработки и приоритету действий, чтобы управлять всеми лидами в одном месте.</t>
  </si>
  <si>
    <t>4-2</t>
  </si>
  <si>
    <t>Inbox (Текущая сессия)</t>
  </si>
  <si>
    <t>должен иметь возможность через пункт глобального меню второго уровня видеть список всех входящих лидов конкретной сессии, отсортированных по этапам обработки и приоритету действий, чтобы фокусироваться на лидах одной сессии.</t>
  </si>
  <si>
    <t>4-3</t>
  </si>
  <si>
    <t>должна осуществлять все те же функции, что и «Inbox (Все)», но только для одной конкретной сессии, чтобы пользователь мог работать с лидами выборочно.</t>
  </si>
  <si>
    <t>4-4</t>
  </si>
  <si>
    <t>должен иметь возможность переключать интерфейс между Канбан-доской и классическим списком диалогов (карусель), чтобы выбрать удобный способ работы с лидами.</t>
  </si>
  <si>
    <t>4-5</t>
  </si>
  <si>
    <t>должна отображать Канбан-страницу в виде столбцов и карточек Канбан, расположенных в соответствии с текущим статусом обработки, чтобы пользователь визуально управлял этапами.</t>
  </si>
  <si>
    <t>4-6</t>
  </si>
  <si>
    <t>должен иметь возможность в режиме Канбан выставлять фильтры (срок/этапы/стратегии/платформы/сессии), чтобы отображать только нужные лиды.</t>
  </si>
  <si>
    <t>Богдан: функционал карточки</t>
  </si>
  <si>
    <t>4-7</t>
  </si>
  <si>
    <t>должен иметь возможность в карточке совершить следующие действия: включиться в диалог, направить материалы, переместить карточку на другой этап воронки, удалить карточку, направить в спам, а также откатить перемещение вручную, чтобы гибко управлять каждым лидом.</t>
  </si>
  <si>
    <t>4-8</t>
  </si>
  <si>
    <t>должен иметь возможность в режиме Канбан-доски перетаскивать карточки лидов (Drag&amp;Drop) по этапам воронки, чтобы интуитивно управлять прогрессом лида.</t>
  </si>
  <si>
    <t>4-9</t>
  </si>
  <si>
    <t>должен иметь возможность в диалоговом окне: переписываться, направлять материалы/ссылки (в т.ч. на оплату), отвечать шаблонами, ставить контрольные даты и действия, давать команды на перемещение лида (Завершён/Спам/Удалить/На другой этап), переводить диалог на другого пользователя, переходить на страницу клиента, вносить данные клиента (телефон, почта, имя, адрес), оценивать лид, отмечать завершение сделки, чтобы полноценно вести коммуникацию без выхода из системы.</t>
  </si>
  <si>
    <t>4-10</t>
  </si>
  <si>
    <t>должна синхронизировать диалоговое окно с мессенджером пользователя в центре уведомлений, чтобы пользователь мог отвечать из внешнего мессенджера.</t>
  </si>
  <si>
    <t>4-11</t>
  </si>
  <si>
    <t>должен иметь возможность из центра уведомлений перейти на сайт (в систему), чтобы быстро вернуться в интерфейс Inbox.</t>
  </si>
  <si>
    <t>4-12</t>
  </si>
  <si>
    <t>должна уметь «вычленять» из найденного контакта номер телефона (при возможности), чтобы автоматически обогащать карточку лида.</t>
  </si>
  <si>
    <t>4-13</t>
  </si>
  <si>
    <t>должна уметь «вычленять» из найденного лида контакт Telegram (@username) или VK и т.д., чтобы автоматически заполнять контактные данные.</t>
  </si>
  <si>
    <t>4-14</t>
  </si>
  <si>
    <t>должна автоматически пересчитывать количество лидов в каждой колонке при перемещении карточек, чтобы пользователь видел актуальную статистику по этапам.</t>
  </si>
  <si>
    <t>5-1</t>
  </si>
  <si>
    <t>должен иметь возможность через пункт глобального меню «Администрирование» получить доступ к сведениям и инструментам настройки сервиса (личный кабинет, пользователи и группы, биллинг), чтобы управлять аккаунтом и сервисом.</t>
  </si>
  <si>
    <t>5-2</t>
  </si>
  <si>
    <t>должен иметь возможность через пункт второго уровня «Личный кабинет» просматривать и изменять свои данные (телефон, почта, сайт, ник, ФИО, компания, роль), чтобы актуализировать информацию о себе.</t>
  </si>
  <si>
    <t>5-3</t>
  </si>
  <si>
    <t>Пользователь (владелец/администратор)</t>
  </si>
  <si>
    <t>должен иметь возможность через пункт второго уровня «Пользователи и группы» управлять пользователями своего workspace (добавлять, удалять, назначать роли), чтобы контролировать доступ к сервису.</t>
  </si>
  <si>
    <t>5-4</t>
  </si>
  <si>
    <t>Пользователь (владелец)</t>
  </si>
  <si>
    <t>должен иметь возможность через пункт второго уровня «Подписка и биллинг» просматривать тарифы, конструктор тарифов, оплату и историю заказов, чтобы управлять финансами сервиса.</t>
  </si>
  <si>
    <t>5-5</t>
  </si>
  <si>
    <t>должна уметь рассчитывать сумму оплаты в зависимости от тарифа, срока лицензии и дополнительных функций (ИИ-продажник, активация платформ, интеграция с CRM), чтобы корректно выставлять счёт.</t>
  </si>
  <si>
    <t>5-6</t>
  </si>
  <si>
    <t>должна автоматически останавливать работу сервиса при истечении срока действия лицензии, чтобы соблюдать условия подписки.</t>
  </si>
  <si>
    <t>5-7</t>
  </si>
  <si>
    <t>должна уведомлять пользователя ДО истечения срока действия лицензии, а также ПОСЛЕ (с напоминанием о необходимости продления), чтобы пользователь не потерял доступ неожиданно.</t>
  </si>
  <si>
    <t>5-8</t>
  </si>
  <si>
    <t>должна хранить историю всех счетов пользователя, чтобы пользователь мог отслеживать прошлые платежи.</t>
  </si>
  <si>
    <t>5-9</t>
  </si>
  <si>
    <t>должен иметь возможность подключать платные каналы (платформы для поиска лидов) и оплачивать их, чтобы расширять источники.</t>
  </si>
  <si>
    <t>5-10</t>
  </si>
  <si>
    <t>должен иметь возможность выбирать тариф, дополнительные функции (платформы, количество пользователей) и оплачивать их через сервис эквайринга, чтобы кастомизировать подписку под свои нужды.</t>
  </si>
  <si>
    <t>5-11</t>
  </si>
  <si>
    <t>должен иметь возможность получить чек за оплату (на email или скачать в личном кабинете), чтобы подтверждать расходы.</t>
  </si>
  <si>
    <t>5-12</t>
  </si>
  <si>
    <t>должен иметь возможность возобновить подписку с ранее сохранёнными настройками (тариф, платформы, пользователи), чтобы быстро продлить доступ.</t>
  </si>
  <si>
    <t>5-13</t>
  </si>
  <si>
    <t>должен иметь возможность выбрать один из тарифов (Start, Pro, Agency) и управлять подпиской в визуальном разделе Биллинга, чтобы легко менять условия обслуживания.</t>
  </si>
  <si>
    <t>5-14</t>
  </si>
  <si>
    <t>должен иметь возможность активировать подписки на платформы для формирования базы лидов, оплачивать их и авторизовываться на указанных платформах, чтобы начать поиск лидов через новые каналы.</t>
  </si>
  <si>
    <t>5-15</t>
  </si>
  <si>
    <t>Готовые профайлы</t>
  </si>
  <si>
    <t>должен иметь возможность через пункт второго уровня «Готовые профайлы» просматривать и использовать предварительно настроенные профайлы лидов и сценарии, чтобы ускорить настройку новых сессий.</t>
  </si>
  <si>
    <t>5-16</t>
  </si>
  <si>
    <t>должен иметь возможность через пункт второго уровня «О системе» просматривать информацию о ПО, разработчике, версии, а также правовую информацию (интеллектуальная собственность, соглашения, политики), чтобы быть в курсе условий использования и версионности.</t>
  </si>
  <si>
    <t>6-1</t>
  </si>
  <si>
    <t>должна предоставить возможность согласования базы данных (БД), чтобы утвердить структуру хранения данных перед разработкой.</t>
  </si>
  <si>
    <t>6-2</t>
  </si>
  <si>
    <t>должна быть развёрнута на серверах, чтобы обеспечить работу сервиса в целевой среде.</t>
  </si>
  <si>
    <t>6-3</t>
  </si>
  <si>
    <t>должна иметь созданную базовую структуру сайтов, чтобы на неё можно было настраивать интерфейсы и функциональность.</t>
  </si>
  <si>
    <t>7-1</t>
  </si>
  <si>
    <t>Разработчик / Владелец продукта</t>
  </si>
  <si>
    <t>должны после утверждения всего функционала пересобрать демо-сайт, а затем полностью натянуть демо на финальную конструкцию сайта, чтобы представить актуальный интерфейс заказчику и пользователям.</t>
  </si>
  <si>
    <t>8-1</t>
  </si>
  <si>
    <t>Модератор / Администратор поддержки</t>
  </si>
  <si>
    <t>должен иметь возможность через отдельный кабинет управлять клиентами (пользователями сервиса) для настройки и обслуживания их аккаунтов, чтобы оказывать поддержку и решать проблемы клиентов.</t>
  </si>
  <si>
    <t>9-1</t>
  </si>
  <si>
    <t>Ядро / Глобальные функции</t>
  </si>
  <si>
    <t>должна уметь автоматически отсекать спам в найденных лидах, чтобы пользователь видел только качественные контакты.</t>
  </si>
  <si>
    <t>9-2</t>
  </si>
  <si>
    <t>должна проверять, что пользователь поставил чек-боксы согласия с условиями пользования и нормативно-правовыми актами (НПА), чтобы соблюдать юридические требования.</t>
  </si>
  <si>
    <t>9-3</t>
  </si>
  <si>
    <t>должна предоставлять возможность перевода пользователя в техническую поддержку (чат или заявка), чтобы пользователь мог получить помощь.</t>
  </si>
  <si>
    <t>9-4</t>
  </si>
  <si>
    <t>должен иметь возможность вызвать модальное окно глобального поиска по платформе с помощью горячих клавиш Cmd+K (или Ctrl+K), чтобы быстро находить нужные элементы.</t>
  </si>
  <si>
    <t>9-5</t>
  </si>
  <si>
    <t>должна отображать всплывающие уведомления (Toasts) при сохранении настроек, отправке сообщений и других ключевых действиях, чтобы пользователь получал обратную связь о результате операции.</t>
  </si>
  <si>
    <t>ИЧ/1ЧЕЛ ИТОГО:</t>
  </si>
  <si>
    <t>ИД/2ЧЕЛ ИТОГО:</t>
  </si>
  <si>
    <t>ч</t>
  </si>
  <si>
    <t xml:space="preserve">Вклад </t>
  </si>
  <si>
    <t>Вывод аккаунтов в админ панель</t>
  </si>
  <si>
    <t>В админ панели должна быть вкадака куда быдет выведена таблица со всеми аккаунтами ТГ, их статусами, блокировками, числом подключенных каналов.</t>
  </si>
  <si>
    <t>Управление аккаунтами через админ панель</t>
  </si>
  <si>
    <t>Через админ панель можно удалить или заблокировать уже созданный аккаунт в ТГ</t>
  </si>
  <si>
    <t>Детализация по каналом в аккаунте</t>
  </si>
  <si>
    <t>Провалившись в число подключенных аккаунтов можно увидеть список какие каналы подключенны в этот аккаунт.</t>
  </si>
  <si>
    <t>Возможность редактировать аккаунты в таблице</t>
  </si>
  <si>
    <t>Иметь возсожность не только поменять название и описание аккаунта, но и изменить лимиты на его каналы.</t>
  </si>
  <si>
    <t>Возможность управлять ограничениями балансировщика</t>
  </si>
  <si>
    <t xml:space="preserve">У нас будут настройки которые будут ограничевать наш балансировщик и мы должны иметь возможность управлять этими настройками, чтобы балансировщик работал по разному. (Количество добавений в час, время ожидания по просьбе ТГ до миграции, подряд неуспехов авторизации до смены статуса на неактивный и миграции каналов)
</t>
  </si>
  <si>
    <t>Возможность добавлять новый аккаунт через интерфейс</t>
  </si>
  <si>
    <t>Через админ панель можно добавть новый аккаунт и он появиться в нашей таблице, а так же автоматом заработает на подхват каналов.</t>
  </si>
  <si>
    <t>Балансировка заполненности аккаунтов каналами</t>
  </si>
  <si>
    <t>Система должна в не нагржуенное время постепенно убирать нагрузку с забитых аккаунтов и перетаскивать их на не забитые. И надо избежать, чтобы у нас постоянно система перекидывала одни каналы между аккаунтами, чтобы это было не среднее между аккаунтами, а с погрешностью.</t>
  </si>
  <si>
    <t>Таблица очереди действий</t>
  </si>
  <si>
    <t>Чтобы система не могла взять в работу несколько процессов одновременно и сама себя заблокировать, нам нужна очередь действий.
Например если 2 человека решили добавить по 1000 каналов одномоментно, все 2000 каналов встали в очередь и обработались системой по порядку.</t>
  </si>
  <si>
    <t>Лог изменения в админ панели</t>
  </si>
  <si>
    <t>Если в админ панели кто-то что-то поправил или изменил, нам надо видить кто и что сделлал, с удобной возможностью отфльтроваться и понять что происходило, без возможности поменять логи.</t>
  </si>
  <si>
    <t>ВК сделать балансировщик между сессиями</t>
  </si>
  <si>
    <t>Сделать так, чтобы нагрузка равномерно расспеределялась между всеми подключенными аккаунтами</t>
  </si>
  <si>
    <t>Сделать вкладку в админке для управления аккантами ВК</t>
  </si>
  <si>
    <t>так же как в ТГ сделать вкладку для управления</t>
  </si>
  <si>
    <t>Как в ТГ сделать возможность управлять аккаунтами для ВК</t>
  </si>
  <si>
    <t>Как в ТГ сделать управлением балансировщиком</t>
  </si>
  <si>
    <t>Как в ТГ сдлеать в ВК возможность изменения данных о аккаунтах</t>
  </si>
  <si>
    <t>Как в ТГ сделать для ВК возможность добавлять новые аккаунты</t>
  </si>
  <si>
    <t>Тут больше сложность, так как аккаунты добавлять не так просто и придётся придумывать схему, как это сделать правильно</t>
  </si>
  <si>
    <t>Сделать как в ТГ в ВК детализацию по каналам в аккаунте</t>
  </si>
  <si>
    <t>Сумма</t>
  </si>
  <si>
    <t>уже умеет</t>
  </si>
  <si>
    <t>Должна уметь на основе промта пользователя составлять перечень групп/сообществ для будущих поисковых мероприятий</t>
  </si>
  <si>
    <t xml:space="preserve">Должна уметь ранжировать данные группы по признакам: наличие активности в чате, отсутствие спама, качество аудитории, соответствие названия беседы и тематики </t>
  </si>
  <si>
    <t xml:space="preserve">Должна предлагать шаблонное smart-сообщение найденным контактам от имени пользователя </t>
  </si>
  <si>
    <t>Должна уметь корректировать промт запросов под услуги товаров, не удаляя первоначальный вариант (уметь добавлять детали в промт)</t>
  </si>
  <si>
    <t>не умеет</t>
  </si>
  <si>
    <t>если речь про пользователя</t>
  </si>
  <si>
    <t>features - масштабирование</t>
  </si>
  <si>
    <t>Должна уметь отбрабатывать ОС от пользователя (подходит/не подходит/архив)</t>
  </si>
  <si>
    <t>Должна уметь осуществлять поиск только по определенным группам/каналам</t>
  </si>
  <si>
    <t>В слечае невозможности подключить канал она должна уведомить об этом пользователя</t>
  </si>
  <si>
    <t xml:space="preserve">умеет частично, формат отчета нужно изменить </t>
  </si>
  <si>
    <t>Должна уметь авторизовывать несколько пользователей (групп) и определять лимиты подключенных пользователей</t>
  </si>
  <si>
    <t>Должна уметь определять сумму оплаты в зависимости от тарифа, срока лицензии (выбор/тариф/срок в интерфейсе)</t>
  </si>
  <si>
    <t xml:space="preserve">Должны уметь проверять чек-боксы на согласие с условием пользования и НПА. </t>
  </si>
  <si>
    <t>Должна уметь напоминать клиенту ДО истечения срока действия лицензии и напоминать ПОСЛЕ, если не оплачено</t>
  </si>
  <si>
    <t>Должны быть закладки для промтов (?)</t>
  </si>
  <si>
    <t>Если считать, что добавление в чат = регистрация, то умеет</t>
  </si>
  <si>
    <t>Должен иметь возможность зарегистрировать других пользователей из своей команды согласно тарифу</t>
  </si>
  <si>
    <t xml:space="preserve">Должен иметь возможность пройти пошаговую настройку сервиса </t>
  </si>
  <si>
    <t>Должен иметь возможность настройки группы каналов</t>
  </si>
  <si>
    <t>50/50</t>
  </si>
  <si>
    <t>полуавтоматический режим, сам пользователь не может на данный момент настраивать</t>
  </si>
  <si>
    <t>Должен уметь настраивать убрать/добавлять каналы в поиск в ручном формате</t>
  </si>
  <si>
    <t xml:space="preserve">Должен иметь возможность корректировать промт </t>
  </si>
  <si>
    <t xml:space="preserve">Должен иметь возможность корректировать шаблонное smart-сообщение </t>
  </si>
  <si>
    <t>только через менеджера</t>
  </si>
  <si>
    <t>по желанию пользователя</t>
  </si>
  <si>
    <t>Будущие разработки</t>
  </si>
  <si>
    <t>МАХ</t>
  </si>
  <si>
    <t>ВК</t>
  </si>
  <si>
    <t>Инстаграм</t>
  </si>
  <si>
    <t>Дзен</t>
  </si>
  <si>
    <t>система</t>
  </si>
  <si>
    <t>Система должна формировать промпт для агента поиска на основе запроса пользователя и дополнительных вопросов</t>
  </si>
  <si>
    <t>Система должна формровать список запросов (seed) для запросов в телеграмме</t>
  </si>
  <si>
    <t>Система должна на основе сидов формировать полноценные расширенные запросы для поиска</t>
  </si>
  <si>
    <t>Система должна уметь автоматически находить список релевантных каналов и оценивать по вопросу качества</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</si>
</sst>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р.-419]#,##0.00"/>
    <numFmt numFmtId="165" formatCode="dd.MM.yyyy"/>
    <numFmt numFmtId="166" formatCode="dd.mm.yyyy h:mm"/>
  </numFmts>
  <fonts count="46">
    <font>
      <sz val="10.0"/>
      <color rgb="FF000000"/>
      <name val="Arial"/>
      <scheme val="minor"/>
    </font>
    <font>
      <i/>
      <sz val="11.0"/>
      <color rgb="FF305496"/>
      <name val="Calibri"/>
    </font>
    <font>
      <color theme="1"/>
      <name val="Arial"/>
      <scheme val="minor"/>
    </font>
    <font>
      <b/>
      <sz val="11.0"/>
      <color rgb="FFFFFFFF"/>
      <name val="Calibri"/>
    </font>
    <font>
      <sz val="11.0"/>
      <color rgb="FFC00000"/>
      <name val="Calibri"/>
    </font>
    <font>
      <sz val="11.0"/>
      <color rgb="FF000000"/>
      <name val="Calibri"/>
    </font>
    <font>
      <sz val="11.0"/>
      <color rgb="FFFF0000"/>
      <name val="Calibri"/>
    </font>
    <font>
      <color rgb="FF000000"/>
      <name val="Arial"/>
      <scheme val="minor"/>
    </font>
    <font>
      <sz val="11.0"/>
      <color rgb="FF548235"/>
      <name val="Calibri"/>
    </font>
    <font>
      <sz val="11.0"/>
      <color rgb="FFC65911"/>
      <name val="Calibri"/>
    </font>
    <font>
      <color rgb="FFFF0000"/>
      <name val="Arial"/>
      <scheme val="minor"/>
    </font>
    <font>
      <sz val="11.0"/>
      <color rgb="FF305496"/>
      <name val="Calibri"/>
    </font>
    <font>
      <b/>
      <color theme="1"/>
      <name val="Arial"/>
      <scheme val="minor"/>
    </font>
    <font>
      <color rgb="FF1F1F1F"/>
      <name val="&quot;Google Sans Text&quot;"/>
    </font>
    <font>
      <b/>
      <color rgb="FF0000FF"/>
      <name val="Arial"/>
      <scheme val="minor"/>
    </font>
    <font>
      <color rgb="FF0000FF"/>
      <name val="&quot;Google Sans Text&quot;"/>
    </font>
    <font>
      <b/>
      <color rgb="FF305496"/>
      <name val="&quot;Google Sans Text&quot;"/>
    </font>
    <font>
      <color rgb="FF305496"/>
      <name val="&quot;Google Sans Text&quot;"/>
    </font>
    <font>
      <color rgb="FF305496"/>
      <name val="Arial"/>
      <scheme val="minor"/>
    </font>
    <font>
      <b/>
      <color rgb="FF1F1F1F"/>
      <name val="&quot;Google Sans Text&quot;"/>
    </font>
    <font>
      <color rgb="FF000000"/>
      <name val="&quot;Google Sans Text&quot;"/>
    </font>
    <font>
      <b/>
      <color rgb="FF305496"/>
      <name val="Arial"/>
      <scheme val="minor"/>
    </font>
    <font>
      <b/>
      <color rgb="FF000000"/>
      <name val="Arial"/>
      <scheme val="minor"/>
    </font>
    <font>
      <color rgb="FFCC0000"/>
      <name val="&quot;Google Sans Text&quot;"/>
    </font>
    <font>
      <color rgb="FF38761D"/>
      <name val="&quot;Google Sans Text&quot;"/>
    </font>
    <font>
      <b/>
      <color theme="1"/>
      <name val="Arial"/>
    </font>
    <font>
      <color theme="1"/>
      <name val="Arial"/>
    </font>
    <font>
      <b/>
      <color rgb="FF2B2F33"/>
      <name val="Arial"/>
    </font>
    <font>
      <b/>
      <u/>
      <color rgb="FF2B2F33"/>
      <name val="-apple-system"/>
    </font>
    <font>
      <color rgb="FF000000"/>
      <name val="-apple-system"/>
    </font>
    <font>
      <sz val="11.0"/>
      <color rgb="FF000000"/>
      <name val="Arial"/>
    </font>
    <font>
      <u/>
      <color rgb="FF1155CC"/>
      <name val="-apple-system"/>
    </font>
    <font>
      <color rgb="FF000000"/>
      <name val="Arial"/>
    </font>
    <font>
      <u/>
      <color rgb="FF0000FF"/>
      <name val="-apple-system"/>
    </font>
    <font>
      <u/>
      <color rgb="FF1155CC"/>
      <name val="Arial"/>
    </font>
    <font>
      <u/>
      <color rgb="FF1155CC"/>
      <name val="-apple-system"/>
    </font>
    <font>
      <i/>
      <sz val="11.0"/>
      <color rgb="FFEFEFEF"/>
      <name val="Calibri"/>
    </font>
    <font>
      <b/>
      <sz val="11.0"/>
      <color rgb="FFEFEFEF"/>
      <name val="Calibri"/>
    </font>
    <font>
      <b/>
      <color rgb="FFEFEFEF"/>
      <name val="Arial"/>
      <scheme val="minor"/>
    </font>
    <font>
      <color rgb="FFEFEFEF"/>
      <name val="&quot;Google Sans Text&quot;"/>
    </font>
    <font>
      <color rgb="FFEFEFEF"/>
      <name val="Arial"/>
      <scheme val="minor"/>
    </font>
    <font>
      <b/>
      <color rgb="FFEFEFEF"/>
      <name val="&quot;Google Sans Text&quot;"/>
    </font>
    <font/>
    <font>
      <sz val="12.0"/>
      <color rgb="FF0F1115"/>
      <name val="Quote-cjk-patch"/>
    </font>
    <font>
      <sz val="12.0"/>
      <color rgb="FF0F1115"/>
      <name val="Arial"/>
    </font>
    <font>
      <color rgb="FF81858C"/>
      <name val="Quote-cjk-patch"/>
    </font>
  </fonts>
  <fills count="27">
    <fill>
      <patternFill patternType="none"/>
    </fill>
    <fill>
      <patternFill patternType="lightGray"/>
    </fill>
    <fill>
      <patternFill patternType="solid">
        <fgColor rgb="FF70AD47"/>
        <bgColor rgb="FF70AD47"/>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00FFFF"/>
        <bgColor rgb="FF00FFFF"/>
      </patternFill>
    </fill>
    <fill>
      <patternFill patternType="solid">
        <fgColor rgb="FFFF0000"/>
        <bgColor rgb="FFFF0000"/>
      </patternFill>
    </fill>
    <fill>
      <patternFill patternType="solid">
        <fgColor rgb="FFD0E0E3"/>
        <bgColor rgb="FFD0E0E3"/>
      </patternFill>
    </fill>
    <fill>
      <patternFill patternType="solid">
        <fgColor rgb="FFA2C4C9"/>
        <bgColor rgb="FFA2C4C9"/>
      </patternFill>
    </fill>
    <fill>
      <patternFill patternType="solid">
        <fgColor rgb="FFFFF2CC"/>
        <bgColor rgb="FFFFF2CC"/>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EA9999"/>
        <bgColor rgb="FFEA9999"/>
      </patternFill>
    </fill>
    <fill>
      <patternFill patternType="solid">
        <fgColor rgb="FFE06666"/>
        <bgColor rgb="FFE06666"/>
      </patternFill>
    </fill>
    <fill>
      <patternFill patternType="solid">
        <fgColor rgb="FFCC4125"/>
        <bgColor rgb="FFCC4125"/>
      </patternFill>
    </fill>
    <fill>
      <patternFill patternType="solid">
        <fgColor rgb="FFFCE5CD"/>
        <bgColor rgb="FFFCE5CD"/>
      </patternFill>
    </fill>
    <fill>
      <patternFill patternType="solid">
        <fgColor rgb="FFD9D9D9"/>
        <bgColor rgb="FFD9D9D9"/>
      </patternFill>
    </fill>
    <fill>
      <patternFill patternType="solid">
        <fgColor rgb="FFF4CCCC"/>
        <bgColor rgb="FFF4CCCC"/>
      </patternFill>
    </fill>
    <fill>
      <patternFill patternType="solid">
        <fgColor rgb="FFCCCCCC"/>
        <bgColor rgb="FFCCCCCC"/>
      </patternFill>
    </fill>
    <fill>
      <patternFill patternType="solid">
        <fgColor rgb="FFEAD1DC"/>
        <bgColor rgb="FFEAD1DC"/>
      </patternFill>
    </fill>
    <fill>
      <patternFill patternType="solid">
        <fgColor rgb="FFD9EAD3"/>
        <bgColor rgb="FFD9EAD3"/>
      </patternFill>
    </fill>
    <fill>
      <patternFill patternType="solid">
        <fgColor rgb="FFA4C2F4"/>
        <bgColor rgb="FFA4C2F4"/>
      </patternFill>
    </fill>
    <fill>
      <patternFill patternType="solid">
        <fgColor rgb="FFF1C232"/>
        <bgColor rgb="FFF1C232"/>
      </patternFill>
    </fill>
    <fill>
      <patternFill patternType="solid">
        <fgColor theme="8"/>
        <bgColor theme="8"/>
      </patternFill>
    </fill>
  </fills>
  <borders count="15">
    <border/>
    <border>
      <left style="thin">
        <color rgb="FF70AD47"/>
      </left>
      <top style="thin">
        <color rgb="FF70AD47"/>
      </top>
    </border>
    <border>
      <top style="thin">
        <color rgb="FF70AD47"/>
      </top>
    </border>
    <border>
      <right style="thin">
        <color rgb="FF70AD47"/>
      </right>
      <top style="thin">
        <color rgb="FF70AD47"/>
      </top>
    </border>
    <border>
      <left style="thin">
        <color rgb="FF70AD47"/>
      </left>
      <top style="thin">
        <color rgb="FF70AD47"/>
      </top>
      <bottom style="thin">
        <color rgb="FF70AD47"/>
      </bottom>
    </border>
    <border>
      <top style="thin">
        <color rgb="FF70AD47"/>
      </top>
      <bottom style="thin">
        <color rgb="FF70AD47"/>
      </bottom>
    </border>
    <border>
      <right style="thin">
        <color rgb="FF70AD47"/>
      </right>
      <top style="thin">
        <color rgb="FF70AD47"/>
      </top>
      <bottom style="thin">
        <color rgb="FF70AD47"/>
      </bottom>
    </border>
    <border>
      <bottom style="thin">
        <color rgb="FF000000"/>
      </bottom>
    </border>
    <border>
      <right style="thin">
        <color rgb="FF70AD47"/>
      </right>
    </border>
    <border>
      <right style="thin">
        <color rgb="FF70AD47"/>
      </right>
      <top style="thin">
        <color rgb="FF70AD47"/>
      </top>
      <bottom style="thin">
        <color rgb="FF000000"/>
      </bottom>
    </border>
    <border>
      <right style="thin">
        <color rgb="FFE7E9EC"/>
      </right>
      <bottom style="thin">
        <color rgb="FFE7E9EC"/>
      </bottom>
    </border>
    <border>
      <left style="thin">
        <color rgb="FF6AA84F"/>
      </left>
      <right style="thin">
        <color rgb="FF6AA84F"/>
      </right>
      <top style="thin">
        <color rgb="FF6AA84F"/>
      </top>
      <bottom style="thin">
        <color rgb="FF6AA84F"/>
      </bottom>
    </border>
    <border>
      <left style="thin">
        <color rgb="FF6AA84F"/>
      </left>
      <right style="thin">
        <color rgb="FF6AA84F"/>
      </right>
      <top style="thin">
        <color rgb="FF6AA84F"/>
      </top>
    </border>
    <border>
      <left style="thin">
        <color rgb="FF6AA84F"/>
      </left>
      <right style="thin">
        <color rgb="FF6AA84F"/>
      </right>
    </border>
    <border>
      <left style="thin">
        <color rgb="FF6AA84F"/>
      </left>
      <right style="thin">
        <color rgb="FF6AA84F"/>
      </right>
      <bottom style="thin">
        <color rgb="FF6AA84F"/>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0" xfId="0" applyAlignment="1" applyFont="1">
      <alignment shrinkToFit="0" wrapText="1"/>
    </xf>
    <xf borderId="1" fillId="2" fontId="3" numFmtId="0" xfId="0" applyAlignment="1" applyBorder="1" applyFill="1" applyFont="1">
      <alignment readingOrder="0" vertical="bottom"/>
    </xf>
    <xf borderId="2" fillId="2" fontId="3" numFmtId="0" xfId="0" applyAlignment="1" applyBorder="1" applyFont="1">
      <alignment readingOrder="0" vertical="bottom"/>
    </xf>
    <xf borderId="2" fillId="2" fontId="3" numFmtId="0" xfId="0" applyAlignment="1" applyBorder="1" applyFont="1">
      <alignment readingOrder="0" shrinkToFit="0" vertical="bottom" wrapText="1"/>
    </xf>
    <xf borderId="3" fillId="2" fontId="3" numFmtId="0" xfId="0" applyAlignment="1" applyBorder="1" applyFont="1">
      <alignment readingOrder="0" vertical="bottom"/>
    </xf>
    <xf borderId="1" fillId="0" fontId="4" numFmtId="0" xfId="0" applyAlignment="1" applyBorder="1" applyFont="1">
      <alignment readingOrder="0" vertical="bottom"/>
    </xf>
    <xf borderId="2" fillId="0" fontId="4" numFmtId="0" xfId="0" applyAlignment="1" applyBorder="1" applyFont="1">
      <alignment readingOrder="0" shrinkToFit="0" vertical="bottom" wrapText="1"/>
    </xf>
    <xf borderId="2" fillId="0" fontId="5" numFmtId="0" xfId="0" applyAlignment="1" applyBorder="1" applyFont="1">
      <alignment readingOrder="0" vertical="bottom"/>
    </xf>
    <xf borderId="2" fillId="0" fontId="5" numFmtId="0" xfId="0" applyAlignment="1" applyBorder="1" applyFont="1">
      <alignment readingOrder="0" shrinkToFit="0" vertical="bottom" wrapText="1"/>
    </xf>
    <xf borderId="2" fillId="0" fontId="5" numFmtId="0" xfId="0" applyAlignment="1" applyBorder="1" applyFont="1">
      <alignment vertical="bottom"/>
    </xf>
    <xf borderId="3" fillId="0" fontId="5" numFmtId="0" xfId="0" applyAlignment="1" applyBorder="1" applyFont="1">
      <alignment vertical="bottom"/>
    </xf>
    <xf borderId="2" fillId="3" fontId="4" numFmtId="0" xfId="0" applyAlignment="1" applyBorder="1" applyFill="1" applyFont="1">
      <alignment readingOrder="0" shrinkToFit="0" vertical="bottom" wrapText="1"/>
    </xf>
    <xf borderId="2" fillId="0" fontId="4" numFmtId="0" xfId="0" applyAlignment="1" applyBorder="1" applyFont="1">
      <alignment readingOrder="0" vertical="bottom"/>
    </xf>
    <xf borderId="0" fillId="3" fontId="2" numFmtId="0" xfId="0" applyAlignment="1" applyFont="1">
      <alignment readingOrder="0"/>
    </xf>
    <xf borderId="1" fillId="0" fontId="6" numFmtId="0" xfId="0" applyAlignment="1" applyBorder="1" applyFont="1">
      <alignment readingOrder="0" vertical="bottom"/>
    </xf>
    <xf borderId="2" fillId="3" fontId="5" numFmtId="0" xfId="0" applyAlignment="1" applyBorder="1" applyFont="1">
      <alignment readingOrder="0" shrinkToFit="0" vertical="bottom" wrapText="1"/>
    </xf>
    <xf borderId="0" fillId="0" fontId="7" numFmtId="0" xfId="0" applyAlignment="1" applyFont="1">
      <alignment readingOrder="0"/>
    </xf>
    <xf borderId="1" fillId="0" fontId="8" numFmtId="0" xfId="0" applyAlignment="1" applyBorder="1" applyFont="1">
      <alignment readingOrder="0" vertical="bottom"/>
    </xf>
    <xf borderId="2" fillId="0" fontId="8" numFmtId="0" xfId="0" applyAlignment="1" applyBorder="1" applyFont="1">
      <alignment readingOrder="0" vertical="bottom"/>
    </xf>
    <xf borderId="2" fillId="0" fontId="8" numFmtId="0" xfId="0" applyAlignment="1" applyBorder="1" applyFont="1">
      <alignment readingOrder="0" shrinkToFit="0" vertical="bottom" wrapText="1"/>
    </xf>
    <xf borderId="1" fillId="0" fontId="9" numFmtId="0" xfId="0" applyAlignment="1" applyBorder="1" applyFont="1">
      <alignment readingOrder="0" vertical="bottom"/>
    </xf>
    <xf borderId="2" fillId="0" fontId="9" numFmtId="0" xfId="0" applyAlignment="1" applyBorder="1" applyFont="1">
      <alignment readingOrder="0" vertical="bottom"/>
    </xf>
    <xf borderId="2" fillId="0" fontId="9" numFmtId="0" xfId="0" applyAlignment="1" applyBorder="1" applyFont="1">
      <alignment readingOrder="0" shrinkToFit="0" vertical="bottom" wrapText="1"/>
    </xf>
    <xf borderId="0" fillId="0" fontId="10" numFmtId="0" xfId="0" applyAlignment="1" applyFont="1">
      <alignment readingOrder="0"/>
    </xf>
    <xf borderId="1" fillId="0" fontId="11" numFmtId="0" xfId="0" applyAlignment="1" applyBorder="1" applyFont="1">
      <alignment readingOrder="0" vertical="bottom"/>
    </xf>
    <xf borderId="2" fillId="0" fontId="11" numFmtId="0" xfId="0" applyAlignment="1" applyBorder="1" applyFont="1">
      <alignment readingOrder="0" vertical="bottom"/>
    </xf>
    <xf borderId="2" fillId="0" fontId="11" numFmtId="0" xfId="0" applyAlignment="1" applyBorder="1" applyFont="1">
      <alignment readingOrder="0" shrinkToFit="0" vertical="bottom" wrapText="1"/>
    </xf>
    <xf borderId="1" fillId="0" fontId="6" numFmtId="0" xfId="0" applyAlignment="1" applyBorder="1" applyFont="1">
      <alignment vertical="bottom"/>
    </xf>
    <xf borderId="2" fillId="0" fontId="5" numFmtId="0" xfId="0" applyAlignment="1" applyBorder="1" applyFont="1">
      <alignment shrinkToFit="0" vertical="bottom" wrapText="1"/>
    </xf>
    <xf borderId="4" fillId="0" fontId="6" numFmtId="0" xfId="0" applyAlignment="1" applyBorder="1" applyFont="1">
      <alignment readingOrder="0" vertical="bottom"/>
    </xf>
    <xf borderId="5" fillId="0" fontId="5" numFmtId="0" xfId="0" applyAlignment="1" applyBorder="1" applyFont="1">
      <alignment vertical="bottom"/>
    </xf>
    <xf borderId="5" fillId="0" fontId="5" numFmtId="0" xfId="0" applyAlignment="1" applyBorder="1" applyFont="1">
      <alignment shrinkToFit="0" vertical="bottom" wrapText="1"/>
    </xf>
    <xf borderId="6" fillId="0" fontId="5" numFmtId="0" xfId="0" applyAlignment="1" applyBorder="1" applyFont="1">
      <alignment vertical="bottom"/>
    </xf>
    <xf borderId="2" fillId="4" fontId="5" numFmtId="0" xfId="0" applyAlignment="1" applyBorder="1" applyFill="1" applyFont="1">
      <alignment readingOrder="0" shrinkToFit="0" vertical="bottom" wrapText="1"/>
    </xf>
    <xf borderId="1" fillId="2" fontId="3" numFmtId="0" xfId="0" applyAlignment="1" applyBorder="1" applyFont="1">
      <alignment readingOrder="0" shrinkToFit="0" vertical="bottom" wrapText="1"/>
    </xf>
    <xf borderId="3" fillId="2" fontId="3" numFmtId="0" xfId="0" applyAlignment="1" applyBorder="1" applyFont="1">
      <alignment readingOrder="0" shrinkToFit="0" vertical="bottom" wrapText="1"/>
    </xf>
    <xf borderId="0" fillId="5" fontId="12" numFmtId="0" xfId="0" applyAlignment="1" applyFill="1" applyFont="1">
      <alignment readingOrder="0" shrinkToFit="0" wrapText="1"/>
    </xf>
    <xf borderId="0" fillId="5" fontId="13" numFmtId="0" xfId="0" applyAlignment="1" applyFont="1">
      <alignment readingOrder="0" shrinkToFit="0" wrapText="1"/>
    </xf>
    <xf borderId="3" fillId="5" fontId="5" numFmtId="0" xfId="0" applyAlignment="1" applyBorder="1" applyFont="1">
      <alignment shrinkToFit="0" vertical="bottom" wrapText="1"/>
    </xf>
    <xf borderId="0" fillId="5" fontId="2" numFmtId="0" xfId="0" applyAlignment="1" applyFont="1">
      <alignment readingOrder="0" shrinkToFit="0" wrapText="1"/>
    </xf>
    <xf borderId="0" fillId="5" fontId="5" numFmtId="0" xfId="0" applyAlignment="1" applyFont="1">
      <alignment shrinkToFit="0" vertical="bottom" wrapText="1"/>
    </xf>
    <xf borderId="7" fillId="5" fontId="2" numFmtId="0" xfId="0" applyAlignment="1" applyBorder="1" applyFont="1">
      <alignment readingOrder="0" shrinkToFit="0" wrapText="1"/>
    </xf>
    <xf borderId="8" fillId="5" fontId="5" numFmtId="0" xfId="0" applyAlignment="1" applyBorder="1" applyFont="1">
      <alignment shrinkToFit="0" vertical="bottom" wrapText="1"/>
    </xf>
    <xf borderId="0" fillId="6" fontId="14" numFmtId="0" xfId="0" applyAlignment="1" applyFill="1" applyFont="1">
      <alignment readingOrder="0" shrinkToFit="0" wrapText="1"/>
    </xf>
    <xf borderId="0" fillId="6" fontId="15" numFmtId="0" xfId="0" applyAlignment="1" applyFont="1">
      <alignment readingOrder="0" shrinkToFit="0" wrapText="1"/>
    </xf>
    <xf borderId="0" fillId="6" fontId="13" numFmtId="0" xfId="0" applyAlignment="1" applyFont="1">
      <alignment readingOrder="0" shrinkToFit="0" wrapText="1"/>
    </xf>
    <xf borderId="0" fillId="6" fontId="13" numFmtId="0" xfId="0" applyAlignment="1" applyFont="1">
      <alignment shrinkToFit="0" wrapText="1"/>
    </xf>
    <xf borderId="0" fillId="6" fontId="13" numFmtId="0" xfId="0" applyAlignment="1" applyFont="1">
      <alignment shrinkToFit="0" wrapText="1"/>
    </xf>
    <xf borderId="0" fillId="6" fontId="5" numFmtId="0" xfId="0" applyAlignment="1" applyFont="1">
      <alignment shrinkToFit="0" vertical="bottom" wrapText="1"/>
    </xf>
    <xf borderId="0" fillId="6" fontId="12" numFmtId="0" xfId="0" applyAlignment="1" applyFont="1">
      <alignment readingOrder="0" shrinkToFit="0" wrapText="1"/>
    </xf>
    <xf borderId="8" fillId="6" fontId="5" numFmtId="0" xfId="0" applyAlignment="1" applyBorder="1" applyFont="1">
      <alignment shrinkToFit="0" vertical="bottom" wrapText="1"/>
    </xf>
    <xf borderId="3" fillId="6" fontId="5" numFmtId="0" xfId="0" applyAlignment="1" applyBorder="1" applyFont="1">
      <alignment shrinkToFit="0" vertical="bottom" wrapText="1"/>
    </xf>
    <xf borderId="7" fillId="6" fontId="13" numFmtId="0" xfId="0" applyAlignment="1" applyBorder="1" applyFont="1">
      <alignment readingOrder="0" shrinkToFit="0" wrapText="1"/>
    </xf>
    <xf borderId="7" fillId="6" fontId="13" numFmtId="0" xfId="0" applyAlignment="1" applyBorder="1" applyFont="1">
      <alignment shrinkToFit="0" wrapText="1"/>
    </xf>
    <xf borderId="7" fillId="6" fontId="13" numFmtId="0" xfId="0" applyAlignment="1" applyBorder="1" applyFont="1">
      <alignment shrinkToFit="0" wrapText="1"/>
    </xf>
    <xf borderId="9" fillId="6" fontId="5" numFmtId="0" xfId="0" applyAlignment="1" applyBorder="1" applyFont="1">
      <alignment shrinkToFit="0" vertical="bottom" wrapText="1"/>
    </xf>
    <xf borderId="7" fillId="0" fontId="2" numFmtId="0" xfId="0" applyAlignment="1" applyBorder="1" applyFont="1">
      <alignment shrinkToFit="0" wrapText="1"/>
    </xf>
    <xf borderId="0" fillId="7" fontId="16" numFmtId="0" xfId="0" applyAlignment="1" applyFill="1" applyFont="1">
      <alignment readingOrder="0" shrinkToFit="0" wrapText="1"/>
    </xf>
    <xf borderId="0" fillId="7" fontId="17" numFmtId="0" xfId="0" applyAlignment="1" applyFont="1">
      <alignment readingOrder="0" shrinkToFit="0" wrapText="1"/>
    </xf>
    <xf borderId="0" fillId="7" fontId="13" numFmtId="0" xfId="0" applyAlignment="1" applyFont="1">
      <alignment readingOrder="0" shrinkToFit="0" wrapText="1"/>
    </xf>
    <xf borderId="0" fillId="7" fontId="13" numFmtId="0" xfId="0" applyAlignment="1" applyFont="1">
      <alignment shrinkToFit="0" wrapText="1"/>
    </xf>
    <xf borderId="0" fillId="7" fontId="13" numFmtId="0" xfId="0" applyAlignment="1" applyFont="1">
      <alignment shrinkToFit="0" wrapText="1"/>
    </xf>
    <xf borderId="8" fillId="7" fontId="5" numFmtId="0" xfId="0" applyAlignment="1" applyBorder="1" applyFont="1">
      <alignment shrinkToFit="0" vertical="bottom" wrapText="1"/>
    </xf>
    <xf borderId="0" fillId="7" fontId="17" numFmtId="0" xfId="0" applyAlignment="1" applyFont="1">
      <alignment shrinkToFit="0" wrapText="1"/>
    </xf>
    <xf borderId="0" fillId="7" fontId="17" numFmtId="0" xfId="0" applyAlignment="1" applyFont="1">
      <alignment shrinkToFit="0" wrapText="1"/>
    </xf>
    <xf borderId="8" fillId="7" fontId="11" numFmtId="0" xfId="0" applyAlignment="1" applyBorder="1" applyFont="1">
      <alignment shrinkToFit="0" vertical="bottom" wrapText="1"/>
    </xf>
    <xf borderId="0" fillId="0" fontId="18" numFmtId="0" xfId="0" applyAlignment="1" applyFont="1">
      <alignment shrinkToFit="0" wrapText="1"/>
    </xf>
    <xf borderId="0" fillId="7" fontId="19" numFmtId="0" xfId="0" applyAlignment="1" applyFont="1">
      <alignment readingOrder="0" shrinkToFit="0" wrapText="1"/>
    </xf>
    <xf borderId="0" fillId="8" fontId="13" numFmtId="0" xfId="0" applyAlignment="1" applyFill="1" applyFont="1">
      <alignment readingOrder="0" shrinkToFit="0" wrapText="1"/>
    </xf>
    <xf borderId="0" fillId="9" fontId="13" numFmtId="0" xfId="0" applyAlignment="1" applyFill="1" applyFont="1">
      <alignment readingOrder="0" shrinkToFit="0" wrapText="1"/>
    </xf>
    <xf borderId="0" fillId="9" fontId="19" numFmtId="0" xfId="0" applyAlignment="1" applyFont="1">
      <alignment readingOrder="0" shrinkToFit="0" wrapText="1"/>
    </xf>
    <xf borderId="0" fillId="9" fontId="17" numFmtId="0" xfId="0" applyAlignment="1" applyFont="1">
      <alignment readingOrder="0" shrinkToFit="0" wrapText="1"/>
    </xf>
    <xf borderId="0" fillId="9" fontId="16" numFmtId="0" xfId="0" applyAlignment="1" applyFont="1">
      <alignment readingOrder="0" shrinkToFit="0" wrapText="1"/>
    </xf>
    <xf borderId="0" fillId="9" fontId="20" numFmtId="0" xfId="0" applyAlignment="1" applyFont="1">
      <alignment readingOrder="0" shrinkToFit="0" wrapText="1"/>
    </xf>
    <xf borderId="3" fillId="7" fontId="5" numFmtId="0" xfId="0" applyAlignment="1" applyBorder="1" applyFont="1">
      <alignment shrinkToFit="0" vertical="bottom" wrapText="1"/>
    </xf>
    <xf borderId="3" fillId="7" fontId="11" numFmtId="0" xfId="0" applyAlignment="1" applyBorder="1" applyFont="1">
      <alignment shrinkToFit="0" vertical="bottom" wrapText="1"/>
    </xf>
    <xf borderId="0" fillId="9" fontId="12" numFmtId="0" xfId="0" applyAlignment="1" applyFont="1">
      <alignment readingOrder="0" shrinkToFit="0" wrapText="1"/>
    </xf>
    <xf borderId="0" fillId="9" fontId="13" numFmtId="0" xfId="0" applyAlignment="1" applyFont="1">
      <alignment shrinkToFit="0" wrapText="1"/>
    </xf>
    <xf borderId="0" fillId="9" fontId="13" numFmtId="0" xfId="0" applyAlignment="1" applyFont="1">
      <alignment shrinkToFit="0" wrapText="1"/>
    </xf>
    <xf borderId="8" fillId="9" fontId="5" numFmtId="0" xfId="0" applyAlignment="1" applyBorder="1" applyFont="1">
      <alignment shrinkToFit="0" vertical="bottom" wrapText="1"/>
    </xf>
    <xf borderId="3" fillId="9" fontId="5" numFmtId="0" xfId="0" applyAlignment="1" applyBorder="1" applyFont="1">
      <alignment shrinkToFit="0" vertical="bottom" wrapText="1"/>
    </xf>
    <xf borderId="7" fillId="9" fontId="13" numFmtId="0" xfId="0" applyAlignment="1" applyBorder="1" applyFont="1">
      <alignment readingOrder="0" shrinkToFit="0" wrapText="1"/>
    </xf>
    <xf borderId="7" fillId="9" fontId="13" numFmtId="0" xfId="0" applyAlignment="1" applyBorder="1" applyFont="1">
      <alignment shrinkToFit="0" wrapText="1"/>
    </xf>
    <xf borderId="7" fillId="9" fontId="13" numFmtId="0" xfId="0" applyAlignment="1" applyBorder="1" applyFont="1">
      <alignment shrinkToFit="0" wrapText="1"/>
    </xf>
    <xf borderId="9" fillId="9" fontId="5" numFmtId="0" xfId="0" applyAlignment="1" applyBorder="1" applyFont="1">
      <alignment shrinkToFit="0" vertical="bottom" wrapText="1"/>
    </xf>
    <xf borderId="0" fillId="10" fontId="12" numFmtId="0" xfId="0" applyAlignment="1" applyFill="1" applyFont="1">
      <alignment readingOrder="0" shrinkToFit="0" wrapText="1"/>
    </xf>
    <xf borderId="0" fillId="10" fontId="13" numFmtId="0" xfId="0" applyAlignment="1" applyFont="1">
      <alignment readingOrder="0" shrinkToFit="0" wrapText="1"/>
    </xf>
    <xf borderId="0" fillId="10" fontId="13" numFmtId="0" xfId="0" applyAlignment="1" applyFont="1">
      <alignment shrinkToFit="0" wrapText="1"/>
    </xf>
    <xf borderId="0" fillId="10" fontId="13" numFmtId="0" xfId="0" applyAlignment="1" applyFont="1">
      <alignment shrinkToFit="0" wrapText="1"/>
    </xf>
    <xf borderId="8" fillId="10" fontId="5" numFmtId="0" xfId="0" applyAlignment="1" applyBorder="1" applyFont="1">
      <alignment shrinkToFit="0" vertical="bottom" wrapText="1"/>
    </xf>
    <xf borderId="7" fillId="10" fontId="13" numFmtId="0" xfId="0" applyAlignment="1" applyBorder="1" applyFont="1">
      <alignment readingOrder="0" shrinkToFit="0" wrapText="1"/>
    </xf>
    <xf borderId="7" fillId="10" fontId="13" numFmtId="0" xfId="0" applyAlignment="1" applyBorder="1" applyFont="1">
      <alignment shrinkToFit="0" wrapText="1"/>
    </xf>
    <xf borderId="7" fillId="10" fontId="13" numFmtId="0" xfId="0" applyAlignment="1" applyBorder="1" applyFont="1">
      <alignment shrinkToFit="0" wrapText="1"/>
    </xf>
    <xf borderId="9" fillId="10" fontId="5" numFmtId="0" xfId="0" applyAlignment="1" applyBorder="1" applyFont="1">
      <alignment shrinkToFit="0" vertical="bottom" wrapText="1"/>
    </xf>
    <xf borderId="0" fillId="11" fontId="21" numFmtId="0" xfId="0" applyAlignment="1" applyFill="1" applyFont="1">
      <alignment readingOrder="0" shrinkToFit="0" wrapText="1"/>
    </xf>
    <xf borderId="0" fillId="11" fontId="17" numFmtId="0" xfId="0" applyAlignment="1" applyFont="1">
      <alignment readingOrder="0" shrinkToFit="0" wrapText="1"/>
    </xf>
    <xf borderId="0" fillId="11" fontId="17" numFmtId="0" xfId="0" applyAlignment="1" applyFont="1">
      <alignment shrinkToFit="0" wrapText="1"/>
    </xf>
    <xf borderId="0" fillId="11" fontId="17" numFmtId="0" xfId="0" applyAlignment="1" applyFont="1">
      <alignment shrinkToFit="0" wrapText="1"/>
    </xf>
    <xf borderId="3" fillId="11" fontId="11" numFmtId="0" xfId="0" applyAlignment="1" applyBorder="1" applyFont="1">
      <alignment shrinkToFit="0" vertical="bottom" wrapText="1"/>
    </xf>
    <xf borderId="0" fillId="5" fontId="17" numFmtId="0" xfId="0" applyAlignment="1" applyFont="1">
      <alignment readingOrder="0" shrinkToFit="0" wrapText="1"/>
    </xf>
    <xf borderId="0" fillId="5" fontId="17" numFmtId="0" xfId="0" applyAlignment="1" applyFont="1">
      <alignment shrinkToFit="0" wrapText="1"/>
    </xf>
    <xf borderId="0" fillId="5" fontId="17" numFmtId="0" xfId="0" applyAlignment="1" applyFont="1">
      <alignment shrinkToFit="0" wrapText="1"/>
    </xf>
    <xf borderId="8" fillId="5" fontId="11" numFmtId="0" xfId="0" applyAlignment="1" applyBorder="1" applyFont="1">
      <alignment shrinkToFit="0" vertical="bottom" wrapText="1"/>
    </xf>
    <xf borderId="0" fillId="11" fontId="12" numFmtId="0" xfId="0" applyAlignment="1" applyFont="1">
      <alignment readingOrder="0" shrinkToFit="0" wrapText="1"/>
    </xf>
    <xf borderId="0" fillId="5" fontId="13" numFmtId="0" xfId="0" applyAlignment="1" applyFont="1">
      <alignment shrinkToFit="0" wrapText="1"/>
    </xf>
    <xf borderId="0" fillId="5" fontId="13" numFmtId="0" xfId="0" applyAlignment="1" applyFont="1">
      <alignment shrinkToFit="0" wrapText="1"/>
    </xf>
    <xf borderId="0" fillId="5" fontId="21" numFmtId="0" xfId="0" applyAlignment="1" applyFont="1">
      <alignment readingOrder="0" shrinkToFit="0" wrapText="1"/>
    </xf>
    <xf borderId="7" fillId="5" fontId="13" numFmtId="0" xfId="0" applyAlignment="1" applyBorder="1" applyFont="1">
      <alignment readingOrder="0" shrinkToFit="0" wrapText="1"/>
    </xf>
    <xf borderId="7" fillId="5" fontId="13" numFmtId="0" xfId="0" applyAlignment="1" applyBorder="1" applyFont="1">
      <alignment shrinkToFit="0" wrapText="1"/>
    </xf>
    <xf borderId="7" fillId="5" fontId="13" numFmtId="0" xfId="0" applyAlignment="1" applyBorder="1" applyFont="1">
      <alignment shrinkToFit="0" wrapText="1"/>
    </xf>
    <xf borderId="9" fillId="5" fontId="5" numFmtId="0" xfId="0" applyAlignment="1" applyBorder="1" applyFont="1">
      <alignment shrinkToFit="0" vertical="bottom" wrapText="1"/>
    </xf>
    <xf borderId="0" fillId="11" fontId="18" numFmtId="0" xfId="0" applyAlignment="1" applyFont="1">
      <alignment readingOrder="0"/>
    </xf>
    <xf borderId="8" fillId="11" fontId="11" numFmtId="0" xfId="0" applyAlignment="1" applyBorder="1" applyFont="1">
      <alignment shrinkToFit="0" vertical="bottom" wrapText="1"/>
    </xf>
    <xf borderId="0" fillId="11" fontId="18"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11" fontId="13" numFmtId="0" xfId="0" applyAlignment="1" applyFont="1">
      <alignment readingOrder="0" shrinkToFit="0" wrapText="1"/>
    </xf>
    <xf borderId="0" fillId="11" fontId="13" numFmtId="0" xfId="0" applyAlignment="1" applyFont="1">
      <alignment shrinkToFit="0" wrapText="1"/>
    </xf>
    <xf borderId="0" fillId="11" fontId="13" numFmtId="0" xfId="0" applyAlignment="1" applyFont="1">
      <alignment shrinkToFit="0" wrapText="1"/>
    </xf>
    <xf borderId="3" fillId="11" fontId="5" numFmtId="0" xfId="0" applyAlignment="1" applyBorder="1" applyFont="1">
      <alignment shrinkToFit="0" vertical="bottom" wrapText="1"/>
    </xf>
    <xf borderId="7" fillId="11" fontId="12" numFmtId="0" xfId="0" applyAlignment="1" applyBorder="1" applyFont="1">
      <alignment readingOrder="0" shrinkToFit="0" wrapText="1"/>
    </xf>
    <xf borderId="7" fillId="11" fontId="13" numFmtId="0" xfId="0" applyAlignment="1" applyBorder="1" applyFont="1">
      <alignment readingOrder="0" shrinkToFit="0" wrapText="1"/>
    </xf>
    <xf borderId="7" fillId="11" fontId="13" numFmtId="0" xfId="0" applyAlignment="1" applyBorder="1" applyFont="1">
      <alignment shrinkToFit="0" wrapText="1"/>
    </xf>
    <xf borderId="7" fillId="11" fontId="13" numFmtId="0" xfId="0" applyAlignment="1" applyBorder="1" applyFont="1">
      <alignment shrinkToFit="0" wrapText="1"/>
    </xf>
    <xf borderId="9" fillId="11" fontId="5" numFmtId="0" xfId="0" applyAlignment="1" applyBorder="1" applyFont="1">
      <alignment shrinkToFit="0" vertical="bottom"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shrinkToFit="0" wrapText="1"/>
    </xf>
    <xf borderId="0" fillId="0" fontId="13" numFmtId="0" xfId="0" applyAlignment="1" applyFont="1">
      <alignment shrinkToFit="0" wrapText="1"/>
    </xf>
    <xf borderId="3" fillId="0" fontId="5" numFmtId="0" xfId="0" applyAlignment="1" applyBorder="1" applyFont="1">
      <alignment shrinkToFit="0" vertical="bottom" wrapText="1"/>
    </xf>
    <xf borderId="1" fillId="0" fontId="4" numFmtId="0" xfId="0" applyAlignment="1" applyBorder="1" applyFont="1">
      <alignment readingOrder="0" shrinkToFit="0" vertical="bottom" wrapText="1"/>
    </xf>
    <xf borderId="1" fillId="0" fontId="8" numFmtId="0" xfId="0" applyAlignment="1" applyBorder="1" applyFont="1">
      <alignment readingOrder="0" shrinkToFit="0" vertical="bottom" wrapText="1"/>
    </xf>
    <xf borderId="1" fillId="0" fontId="9" numFmtId="0" xfId="0" applyAlignment="1" applyBorder="1" applyFont="1">
      <alignment readingOrder="0" shrinkToFit="0" vertical="bottom" wrapText="1"/>
    </xf>
    <xf borderId="0" fillId="0" fontId="10" numFmtId="0" xfId="0" applyAlignment="1" applyFont="1">
      <alignment readingOrder="0" shrinkToFit="0" wrapText="1"/>
    </xf>
    <xf borderId="1" fillId="0" fontId="11" numFmtId="0" xfId="0" applyAlignment="1" applyBorder="1" applyFont="1">
      <alignment readingOrder="0" shrinkToFit="0" vertical="bottom" wrapText="1"/>
    </xf>
    <xf borderId="1" fillId="0" fontId="6" numFmtId="0" xfId="0" applyAlignment="1" applyBorder="1" applyFont="1">
      <alignment shrinkToFit="0" vertical="bottom" wrapText="1"/>
    </xf>
    <xf borderId="1" fillId="0" fontId="6" numFmtId="0" xfId="0" applyAlignment="1" applyBorder="1" applyFont="1">
      <alignment readingOrder="0" shrinkToFit="0" vertical="bottom" wrapText="1"/>
    </xf>
    <xf borderId="4" fillId="0" fontId="6" numFmtId="0" xfId="0" applyAlignment="1" applyBorder="1" applyFont="1">
      <alignment readingOrder="0" shrinkToFit="0" vertical="bottom" wrapText="1"/>
    </xf>
    <xf borderId="6" fillId="0" fontId="5" numFmtId="0" xfId="0" applyAlignment="1" applyBorder="1" applyFont="1">
      <alignment shrinkToFit="0" vertical="bottom" wrapText="1"/>
    </xf>
    <xf borderId="0" fillId="2" fontId="3" numFmtId="0" xfId="0" applyAlignment="1" applyFont="1">
      <alignment readingOrder="0" shrinkToFit="0" vertical="bottom" wrapText="1"/>
    </xf>
    <xf borderId="0" fillId="12" fontId="2" numFmtId="0" xfId="0" applyAlignment="1" applyFill="1" applyFont="1">
      <alignment readingOrder="0" shrinkToFit="0" wrapText="1"/>
    </xf>
    <xf borderId="0" fillId="13" fontId="2" numFmtId="0" xfId="0" applyAlignment="1" applyFill="1" applyFont="1">
      <alignment readingOrder="0" shrinkToFit="0" wrapText="1"/>
    </xf>
    <xf borderId="0" fillId="6" fontId="22" numFmtId="0" xfId="0" applyAlignment="1" applyFont="1">
      <alignment readingOrder="0" shrinkToFit="0" wrapText="1"/>
    </xf>
    <xf borderId="0" fillId="14" fontId="2" numFmtId="0" xfId="0" applyAlignment="1" applyFill="1" applyFont="1">
      <alignment readingOrder="0" shrinkToFit="0" wrapText="1"/>
    </xf>
    <xf borderId="0" fillId="15" fontId="2" numFmtId="0" xfId="0" applyAlignment="1" applyFill="1" applyFont="1">
      <alignment readingOrder="0" shrinkToFit="0" wrapText="1"/>
    </xf>
    <xf borderId="0" fillId="15" fontId="2" numFmtId="0" xfId="0" applyAlignment="1" applyFont="1">
      <alignment shrinkToFit="0" wrapText="1"/>
    </xf>
    <xf borderId="0" fillId="16" fontId="2" numFmtId="0" xfId="0" applyAlignment="1" applyFill="1" applyFont="1">
      <alignment readingOrder="0" shrinkToFit="0" wrapText="1"/>
    </xf>
    <xf borderId="0" fillId="7" fontId="20" numFmtId="0" xfId="0" applyAlignment="1" applyFont="1">
      <alignment readingOrder="0" shrinkToFit="0" wrapText="1"/>
    </xf>
    <xf borderId="0" fillId="7" fontId="13" numFmtId="0" xfId="0" applyAlignment="1" applyFont="1">
      <alignment horizontal="center" readingOrder="0" shrinkToFit="0" vertical="center" wrapText="1"/>
    </xf>
    <xf borderId="0" fillId="17" fontId="13" numFmtId="0" xfId="0" applyAlignment="1" applyFill="1" applyFont="1">
      <alignment readingOrder="0" shrinkToFit="0" wrapText="1"/>
    </xf>
    <xf borderId="0" fillId="9" fontId="23" numFmtId="0" xfId="0" applyAlignment="1" applyFont="1">
      <alignment readingOrder="0" shrinkToFit="0" wrapText="1"/>
    </xf>
    <xf borderId="0" fillId="9" fontId="24" numFmtId="0" xfId="0" applyAlignment="1" applyFont="1">
      <alignment readingOrder="0" shrinkToFit="0" wrapText="1"/>
    </xf>
    <xf borderId="0" fillId="0" fontId="2" numFmtId="0" xfId="0" applyFont="1"/>
    <xf borderId="0" fillId="5" fontId="12" numFmtId="0" xfId="0" applyAlignment="1" applyFont="1">
      <alignment readingOrder="0"/>
    </xf>
    <xf borderId="0" fillId="5" fontId="13" numFmtId="0" xfId="0" applyAlignment="1" applyFont="1">
      <alignment readingOrder="0"/>
    </xf>
    <xf borderId="3" fillId="5" fontId="5" numFmtId="0" xfId="0" applyAlignment="1" applyBorder="1" applyFont="1">
      <alignment vertical="bottom"/>
    </xf>
    <xf borderId="0" fillId="5" fontId="2" numFmtId="0" xfId="0" applyFont="1"/>
    <xf borderId="0" fillId="5" fontId="2" numFmtId="0" xfId="0" applyAlignment="1" applyFont="1">
      <alignment readingOrder="0"/>
    </xf>
    <xf borderId="0" fillId="5" fontId="5" numFmtId="0" xfId="0" applyAlignment="1" applyFont="1">
      <alignment vertical="bottom"/>
    </xf>
    <xf borderId="7" fillId="5" fontId="12" numFmtId="0" xfId="0" applyAlignment="1" applyBorder="1" applyFont="1">
      <alignment readingOrder="0"/>
    </xf>
    <xf borderId="7" fillId="5" fontId="2" numFmtId="0" xfId="0" applyAlignment="1" applyBorder="1" applyFont="1">
      <alignment readingOrder="0"/>
    </xf>
    <xf borderId="8" fillId="5" fontId="5" numFmtId="0" xfId="0" applyAlignment="1" applyBorder="1" applyFont="1">
      <alignment vertical="bottom"/>
    </xf>
    <xf borderId="0" fillId="6" fontId="12" numFmtId="0" xfId="0" applyAlignment="1" applyFont="1">
      <alignment readingOrder="0"/>
    </xf>
    <xf borderId="0" fillId="6" fontId="13" numFmtId="0" xfId="0" applyAlignment="1" applyFont="1">
      <alignment readingOrder="0"/>
    </xf>
    <xf borderId="0" fillId="6" fontId="13" numFmtId="0" xfId="0" applyFont="1"/>
    <xf borderId="0" fillId="6" fontId="13" numFmtId="0" xfId="0" applyFont="1"/>
    <xf borderId="0" fillId="6" fontId="5" numFmtId="0" xfId="0" applyAlignment="1" applyFont="1">
      <alignment vertical="bottom"/>
    </xf>
    <xf borderId="0" fillId="6" fontId="2" numFmtId="0" xfId="0" applyFont="1"/>
    <xf borderId="8" fillId="6" fontId="5" numFmtId="0" xfId="0" applyAlignment="1" applyBorder="1" applyFont="1">
      <alignment vertical="bottom"/>
    </xf>
    <xf borderId="3" fillId="6" fontId="5" numFmtId="0" xfId="0" applyAlignment="1" applyBorder="1" applyFont="1">
      <alignment vertical="bottom"/>
    </xf>
    <xf borderId="7" fillId="6" fontId="13" numFmtId="0" xfId="0" applyAlignment="1" applyBorder="1" applyFont="1">
      <alignment readingOrder="0"/>
    </xf>
    <xf borderId="7" fillId="6" fontId="13" numFmtId="0" xfId="0" applyBorder="1" applyFont="1"/>
    <xf borderId="7" fillId="6" fontId="13" numFmtId="0" xfId="0" applyBorder="1" applyFont="1"/>
    <xf borderId="9" fillId="6" fontId="5" numFmtId="0" xfId="0" applyAlignment="1" applyBorder="1" applyFont="1">
      <alignment vertical="bottom"/>
    </xf>
    <xf borderId="7" fillId="6" fontId="2" numFmtId="0" xfId="0" applyBorder="1" applyFont="1"/>
    <xf borderId="0" fillId="7" fontId="19" numFmtId="0" xfId="0" applyAlignment="1" applyFont="1">
      <alignment readingOrder="0"/>
    </xf>
    <xf borderId="0" fillId="7" fontId="13" numFmtId="0" xfId="0" applyAlignment="1" applyFont="1">
      <alignment readingOrder="0"/>
    </xf>
    <xf borderId="0" fillId="7" fontId="13" numFmtId="0" xfId="0" applyFont="1"/>
    <xf borderId="0" fillId="7" fontId="13" numFmtId="0" xfId="0" applyFont="1"/>
    <xf borderId="8" fillId="7" fontId="5" numFmtId="0" xfId="0" applyAlignment="1" applyBorder="1" applyFont="1">
      <alignment vertical="bottom"/>
    </xf>
    <xf borderId="0" fillId="7" fontId="2" numFmtId="0" xfId="0" applyFont="1"/>
    <xf borderId="3" fillId="7" fontId="5" numFmtId="0" xfId="0" applyAlignment="1" applyBorder="1" applyFont="1">
      <alignment vertical="bottom"/>
    </xf>
    <xf borderId="7" fillId="7" fontId="19" numFmtId="0" xfId="0" applyAlignment="1" applyBorder="1" applyFont="1">
      <alignment readingOrder="0"/>
    </xf>
    <xf borderId="7" fillId="7" fontId="13" numFmtId="0" xfId="0" applyAlignment="1" applyBorder="1" applyFont="1">
      <alignment readingOrder="0"/>
    </xf>
    <xf borderId="7" fillId="7" fontId="13" numFmtId="0" xfId="0" applyAlignment="1" applyBorder="1" applyFont="1">
      <alignment readingOrder="0" shrinkToFit="0" wrapText="1"/>
    </xf>
    <xf borderId="7" fillId="7" fontId="13" numFmtId="0" xfId="0" applyBorder="1" applyFont="1"/>
    <xf borderId="7" fillId="7" fontId="13" numFmtId="0" xfId="0" applyBorder="1" applyFont="1"/>
    <xf borderId="9" fillId="7" fontId="5" numFmtId="0" xfId="0" applyAlignment="1" applyBorder="1" applyFont="1">
      <alignment vertical="bottom"/>
    </xf>
    <xf borderId="7" fillId="7" fontId="2" numFmtId="0" xfId="0" applyBorder="1" applyFont="1"/>
    <xf borderId="0" fillId="9" fontId="12" numFmtId="0" xfId="0" applyAlignment="1" applyFont="1">
      <alignment readingOrder="0"/>
    </xf>
    <xf borderId="0" fillId="9" fontId="13" numFmtId="0" xfId="0" applyAlignment="1" applyFont="1">
      <alignment readingOrder="0"/>
    </xf>
    <xf borderId="0" fillId="9" fontId="13" numFmtId="0" xfId="0" applyFont="1"/>
    <xf borderId="0" fillId="9" fontId="13" numFmtId="0" xfId="0" applyFont="1"/>
    <xf borderId="8" fillId="9" fontId="5" numFmtId="0" xfId="0" applyAlignment="1" applyBorder="1" applyFont="1">
      <alignment vertical="bottom"/>
    </xf>
    <xf borderId="0" fillId="9" fontId="2" numFmtId="0" xfId="0" applyFont="1"/>
    <xf borderId="3" fillId="9" fontId="5" numFmtId="0" xfId="0" applyAlignment="1" applyBorder="1" applyFont="1">
      <alignment vertical="bottom"/>
    </xf>
    <xf borderId="7" fillId="9" fontId="12" numFmtId="0" xfId="0" applyAlignment="1" applyBorder="1" applyFont="1">
      <alignment readingOrder="0"/>
    </xf>
    <xf borderId="7" fillId="9" fontId="13" numFmtId="0" xfId="0" applyAlignment="1" applyBorder="1" applyFont="1">
      <alignment readingOrder="0"/>
    </xf>
    <xf borderId="7" fillId="9" fontId="13" numFmtId="0" xfId="0" applyBorder="1" applyFont="1"/>
    <xf borderId="7" fillId="9" fontId="13" numFmtId="0" xfId="0" applyBorder="1" applyFont="1"/>
    <xf borderId="9" fillId="9" fontId="5" numFmtId="0" xfId="0" applyAlignment="1" applyBorder="1" applyFont="1">
      <alignment vertical="bottom"/>
    </xf>
    <xf borderId="7" fillId="9" fontId="2" numFmtId="0" xfId="0" applyBorder="1" applyFont="1"/>
    <xf borderId="0" fillId="18" fontId="12" numFmtId="0" xfId="0" applyAlignment="1" applyFill="1" applyFont="1">
      <alignment readingOrder="0"/>
    </xf>
    <xf borderId="0" fillId="18" fontId="13" numFmtId="0" xfId="0" applyAlignment="1" applyFont="1">
      <alignment readingOrder="0"/>
    </xf>
    <xf borderId="0" fillId="18" fontId="13" numFmtId="0" xfId="0" applyAlignment="1" applyFont="1">
      <alignment readingOrder="0" shrinkToFit="0" wrapText="1"/>
    </xf>
    <xf borderId="0" fillId="18" fontId="13" numFmtId="0" xfId="0" applyFont="1"/>
    <xf borderId="0" fillId="18" fontId="13" numFmtId="0" xfId="0" applyFont="1"/>
    <xf borderId="8" fillId="18" fontId="5" numFmtId="0" xfId="0" applyAlignment="1" applyBorder="1" applyFont="1">
      <alignment vertical="bottom"/>
    </xf>
    <xf borderId="0" fillId="18" fontId="2" numFmtId="0" xfId="0" applyFont="1"/>
    <xf borderId="3" fillId="18" fontId="5" numFmtId="0" xfId="0" applyAlignment="1" applyBorder="1" applyFont="1">
      <alignment vertical="bottom"/>
    </xf>
    <xf borderId="7" fillId="18" fontId="12" numFmtId="0" xfId="0" applyAlignment="1" applyBorder="1" applyFont="1">
      <alignment readingOrder="0"/>
    </xf>
    <xf borderId="7" fillId="18" fontId="13" numFmtId="0" xfId="0" applyAlignment="1" applyBorder="1" applyFont="1">
      <alignment readingOrder="0"/>
    </xf>
    <xf borderId="7" fillId="18" fontId="13" numFmtId="0" xfId="0" applyAlignment="1" applyBorder="1" applyFont="1">
      <alignment readingOrder="0" shrinkToFit="0" wrapText="1"/>
    </xf>
    <xf borderId="7" fillId="18" fontId="13" numFmtId="0" xfId="0" applyBorder="1" applyFont="1"/>
    <xf borderId="7" fillId="18" fontId="13" numFmtId="0" xfId="0" applyBorder="1" applyFont="1"/>
    <xf borderId="9" fillId="18" fontId="5" numFmtId="0" xfId="0" applyAlignment="1" applyBorder="1" applyFont="1">
      <alignment vertical="bottom"/>
    </xf>
    <xf borderId="7" fillId="18" fontId="2" numFmtId="0" xfId="0" applyBorder="1" applyFont="1"/>
    <xf borderId="0" fillId="10" fontId="12" numFmtId="0" xfId="0" applyAlignment="1" applyFont="1">
      <alignment readingOrder="0"/>
    </xf>
    <xf borderId="0" fillId="10" fontId="13" numFmtId="0" xfId="0" applyAlignment="1" applyFont="1">
      <alignment readingOrder="0"/>
    </xf>
    <xf borderId="0" fillId="10" fontId="13" numFmtId="0" xfId="0" applyFont="1"/>
    <xf borderId="0" fillId="10" fontId="13" numFmtId="0" xfId="0" applyFont="1"/>
    <xf borderId="8" fillId="10" fontId="5" numFmtId="0" xfId="0" applyAlignment="1" applyBorder="1" applyFont="1">
      <alignment vertical="bottom"/>
    </xf>
    <xf borderId="0" fillId="10" fontId="2" numFmtId="0" xfId="0" applyFont="1"/>
    <xf borderId="7" fillId="10" fontId="12" numFmtId="0" xfId="0" applyAlignment="1" applyBorder="1" applyFont="1">
      <alignment readingOrder="0"/>
    </xf>
    <xf borderId="7" fillId="10" fontId="13" numFmtId="0" xfId="0" applyAlignment="1" applyBorder="1" applyFont="1">
      <alignment readingOrder="0"/>
    </xf>
    <xf borderId="7" fillId="10" fontId="13" numFmtId="0" xfId="0" applyBorder="1" applyFont="1"/>
    <xf borderId="7" fillId="10" fontId="13" numFmtId="0" xfId="0" applyBorder="1" applyFont="1"/>
    <xf borderId="9" fillId="10" fontId="5" numFmtId="0" xfId="0" applyAlignment="1" applyBorder="1" applyFont="1">
      <alignment vertical="bottom"/>
    </xf>
    <xf borderId="7" fillId="10" fontId="2" numFmtId="0" xfId="0" applyBorder="1" applyFont="1"/>
    <xf borderId="0" fillId="5" fontId="13" numFmtId="0" xfId="0" applyFont="1"/>
    <xf borderId="0" fillId="5" fontId="13" numFmtId="0" xfId="0" applyFont="1"/>
    <xf borderId="7" fillId="5" fontId="13" numFmtId="0" xfId="0" applyAlignment="1" applyBorder="1" applyFont="1">
      <alignment readingOrder="0"/>
    </xf>
    <xf borderId="7" fillId="5" fontId="13" numFmtId="0" xfId="0" applyBorder="1" applyFont="1"/>
    <xf borderId="7" fillId="5" fontId="13" numFmtId="0" xfId="0" applyBorder="1" applyFont="1"/>
    <xf borderId="9" fillId="5" fontId="5" numFmtId="0" xfId="0" applyAlignment="1" applyBorder="1" applyFont="1">
      <alignment vertical="bottom"/>
    </xf>
    <xf borderId="7" fillId="5" fontId="2" numFmtId="0" xfId="0" applyBorder="1" applyFont="1"/>
    <xf borderId="0" fillId="11" fontId="12" numFmtId="0" xfId="0" applyAlignment="1" applyFont="1">
      <alignment readingOrder="0"/>
    </xf>
    <xf borderId="0" fillId="11" fontId="13" numFmtId="0" xfId="0" applyAlignment="1" applyFont="1">
      <alignment readingOrder="0"/>
    </xf>
    <xf borderId="0" fillId="11" fontId="13" numFmtId="0" xfId="0" applyFont="1"/>
    <xf borderId="0" fillId="11" fontId="13" numFmtId="0" xfId="0" applyFont="1"/>
    <xf borderId="8" fillId="11" fontId="5" numFmtId="0" xfId="0" applyAlignment="1" applyBorder="1" applyFont="1">
      <alignment vertical="bottom"/>
    </xf>
    <xf borderId="0" fillId="11" fontId="2" numFmtId="0" xfId="0" applyFont="1"/>
    <xf borderId="3" fillId="11" fontId="5" numFmtId="0" xfId="0" applyAlignment="1" applyBorder="1" applyFont="1">
      <alignment vertical="bottom"/>
    </xf>
    <xf borderId="7" fillId="11" fontId="12" numFmtId="0" xfId="0" applyAlignment="1" applyBorder="1" applyFont="1">
      <alignment readingOrder="0"/>
    </xf>
    <xf borderId="7" fillId="11" fontId="13" numFmtId="0" xfId="0" applyAlignment="1" applyBorder="1" applyFont="1">
      <alignment readingOrder="0"/>
    </xf>
    <xf borderId="7" fillId="11" fontId="13" numFmtId="0" xfId="0" applyBorder="1" applyFont="1"/>
    <xf borderId="7" fillId="11" fontId="13" numFmtId="0" xfId="0" applyBorder="1" applyFont="1"/>
    <xf borderId="9" fillId="11" fontId="5" numFmtId="0" xfId="0" applyAlignment="1" applyBorder="1" applyFont="1">
      <alignment vertical="bottom"/>
    </xf>
    <xf borderId="7" fillId="11" fontId="2" numFmtId="0" xfId="0" applyBorder="1" applyFont="1"/>
    <xf borderId="0" fillId="0" fontId="13" numFmtId="0" xfId="0" applyAlignment="1" applyFont="1">
      <alignment readingOrder="0"/>
    </xf>
    <xf borderId="0" fillId="0" fontId="13" numFmtId="0" xfId="0" applyFont="1"/>
    <xf borderId="0" fillId="0" fontId="13" numFmtId="0" xfId="0" applyFont="1"/>
    <xf borderId="8" fillId="0" fontId="5" numFmtId="0" xfId="0" applyAlignment="1" applyBorder="1" applyFont="1">
      <alignment vertical="bottom"/>
    </xf>
    <xf borderId="0" fillId="19" fontId="25" numFmtId="0" xfId="0" applyAlignment="1" applyFill="1" applyFont="1">
      <alignment horizontal="center" shrinkToFit="0" wrapText="1"/>
    </xf>
    <xf borderId="0" fillId="0" fontId="26" numFmtId="0" xfId="0" applyAlignment="1" applyFont="1">
      <alignment shrinkToFit="0" vertical="bottom" wrapText="1"/>
    </xf>
    <xf borderId="0" fillId="0" fontId="26" numFmtId="0" xfId="0" applyAlignment="1" applyFont="1">
      <alignment horizontal="right" shrinkToFit="0" vertical="bottom" wrapText="1"/>
    </xf>
    <xf borderId="0" fillId="11" fontId="26" numFmtId="0" xfId="0" applyAlignment="1" applyFont="1">
      <alignment shrinkToFit="0" vertical="bottom" wrapText="1"/>
    </xf>
    <xf borderId="0" fillId="11" fontId="26" numFmtId="0" xfId="0" applyAlignment="1" applyFont="1">
      <alignment horizontal="right" shrinkToFit="0" vertical="bottom" wrapText="1"/>
    </xf>
    <xf borderId="0" fillId="19" fontId="12" numFmtId="0" xfId="0" applyAlignment="1" applyFont="1">
      <alignment horizontal="center" readingOrder="0" shrinkToFit="0" vertical="center" wrapText="1"/>
    </xf>
    <xf borderId="0" fillId="19" fontId="12" numFmtId="164" xfId="0" applyAlignment="1" applyFont="1" applyNumberFormat="1">
      <alignment horizontal="center" readingOrder="0" shrinkToFit="0" vertical="center" wrapText="1"/>
    </xf>
    <xf borderId="0" fillId="0" fontId="2" numFmtId="0" xfId="0" applyAlignment="1" applyFont="1">
      <alignment vertical="center"/>
    </xf>
    <xf borderId="0" fillId="0" fontId="2" numFmtId="164" xfId="0" applyFont="1" applyNumberFormat="1"/>
    <xf borderId="0" fillId="0" fontId="2" numFmtId="165" xfId="0" applyAlignment="1" applyFont="1" applyNumberFormat="1">
      <alignment readingOrder="0"/>
    </xf>
    <xf borderId="0" fillId="0" fontId="2" numFmtId="164" xfId="0" applyAlignment="1" applyFont="1" applyNumberFormat="1">
      <alignment readingOrder="0"/>
    </xf>
    <xf borderId="2" fillId="20" fontId="4" numFmtId="0" xfId="0" applyAlignment="1" applyBorder="1" applyFill="1" applyFont="1">
      <alignment readingOrder="0" shrinkToFit="0" vertical="bottom" wrapText="1"/>
    </xf>
    <xf borderId="3" fillId="0" fontId="5" numFmtId="0" xfId="0" applyAlignment="1" applyBorder="1" applyFont="1">
      <alignment readingOrder="0" vertical="bottom"/>
    </xf>
    <xf borderId="1" fillId="20" fontId="4" numFmtId="0" xfId="0" applyAlignment="1" applyBorder="1" applyFont="1">
      <alignment readingOrder="0" vertical="bottom"/>
    </xf>
    <xf borderId="2" fillId="20" fontId="4" numFmtId="0" xfId="0" applyAlignment="1" applyBorder="1" applyFont="1">
      <alignment readingOrder="0" vertical="bottom"/>
    </xf>
    <xf borderId="2" fillId="20" fontId="5" numFmtId="0" xfId="0" applyAlignment="1" applyBorder="1" applyFont="1">
      <alignment readingOrder="0" vertical="bottom"/>
    </xf>
    <xf borderId="2" fillId="20" fontId="5" numFmtId="0" xfId="0" applyAlignment="1" applyBorder="1" applyFont="1">
      <alignment readingOrder="0" shrinkToFit="0" vertical="bottom" wrapText="1"/>
    </xf>
    <xf borderId="2" fillId="20" fontId="5" numFmtId="0" xfId="0" applyAlignment="1" applyBorder="1" applyFont="1">
      <alignment vertical="bottom"/>
    </xf>
    <xf borderId="3" fillId="20" fontId="5" numFmtId="0" xfId="0" applyAlignment="1" applyBorder="1" applyFont="1">
      <alignment readingOrder="0" vertical="bottom"/>
    </xf>
    <xf borderId="0" fillId="20" fontId="2" numFmtId="0" xfId="0" applyAlignment="1" applyFont="1">
      <alignment readingOrder="0" shrinkToFit="0" wrapText="1"/>
    </xf>
    <xf borderId="0" fillId="0" fontId="7" numFmtId="0" xfId="0" applyAlignment="1" applyFont="1">
      <alignment readingOrder="0" shrinkToFit="0" wrapText="1"/>
    </xf>
    <xf borderId="0" fillId="20" fontId="7" numFmtId="0" xfId="0" applyAlignment="1" applyFont="1">
      <alignment readingOrder="0" shrinkToFit="0" wrapText="1"/>
    </xf>
    <xf borderId="3" fillId="20" fontId="5" numFmtId="0" xfId="0" applyAlignment="1" applyBorder="1" applyFont="1">
      <alignment vertical="bottom"/>
    </xf>
    <xf borderId="0" fillId="20" fontId="2" numFmtId="0" xfId="0" applyAlignment="1" applyFont="1">
      <alignment shrinkToFit="0" wrapText="1"/>
    </xf>
    <xf borderId="0" fillId="21" fontId="2" numFmtId="0" xfId="0" applyAlignment="1" applyFill="1" applyFont="1">
      <alignment readingOrder="0"/>
    </xf>
    <xf borderId="0" fillId="19" fontId="12" numFmtId="0" xfId="0" applyAlignment="1" applyFont="1">
      <alignment horizontal="center" readingOrder="0" shrinkToFit="0" wrapText="1"/>
    </xf>
    <xf borderId="0" fillId="19" fontId="27" numFmtId="0" xfId="0" applyAlignment="1" applyFont="1">
      <alignment horizontal="center" readingOrder="0" shrinkToFit="0" vertical="center" wrapText="1"/>
    </xf>
    <xf borderId="0" fillId="19" fontId="27" numFmtId="0" xfId="0" applyAlignment="1" applyFont="1">
      <alignment horizontal="center" shrinkToFit="0" vertical="center" wrapText="1"/>
    </xf>
    <xf borderId="0" fillId="19" fontId="27" numFmtId="164" xfId="0" applyAlignment="1" applyFont="1" applyNumberFormat="1">
      <alignment horizontal="center" readingOrder="0" shrinkToFit="0" vertical="center" wrapText="1"/>
    </xf>
    <xf borderId="0" fillId="19" fontId="28" numFmtId="0" xfId="0" applyAlignment="1" applyFont="1">
      <alignment horizontal="center" shrinkToFit="0" vertical="center" wrapText="1"/>
    </xf>
    <xf borderId="0" fillId="19" fontId="25" numFmtId="0" xfId="0" applyAlignment="1" applyFont="1">
      <alignment horizontal="center" shrinkToFit="0" vertical="center" wrapText="1"/>
    </xf>
    <xf borderId="10" fillId="22" fontId="29" numFmtId="0" xfId="0" applyAlignment="1" applyBorder="1" applyFill="1" applyFont="1">
      <alignment horizontal="center" shrinkToFit="0" wrapText="1"/>
    </xf>
    <xf borderId="0" fillId="19" fontId="2" numFmtId="0" xfId="0" applyAlignment="1" applyFont="1">
      <alignment vertical="center"/>
    </xf>
    <xf borderId="0" fillId="19" fontId="2" numFmtId="0" xfId="0" applyAlignment="1" applyFont="1">
      <alignment readingOrder="0" vertical="center"/>
    </xf>
    <xf borderId="0" fillId="0" fontId="26" numFmtId="0" xfId="0" applyAlignment="1" applyFont="1">
      <alignment horizontal="center" readingOrder="0" shrinkToFit="0" vertical="center" wrapText="1"/>
    </xf>
    <xf borderId="0" fillId="0" fontId="30" numFmtId="0" xfId="0" applyAlignment="1" applyFont="1">
      <alignment horizontal="center" shrinkToFit="0" vertical="center" wrapText="1"/>
    </xf>
    <xf borderId="10" fillId="3" fontId="29" numFmtId="0" xfId="0" applyAlignment="1" applyBorder="1" applyFont="1">
      <alignment horizontal="center" shrinkToFit="0" wrapText="1"/>
    </xf>
    <xf borderId="0" fillId="0" fontId="26" numFmtId="164" xfId="0" applyAlignment="1" applyFont="1" applyNumberFormat="1">
      <alignment readingOrder="0" vertical="bottom"/>
    </xf>
    <xf borderId="10" fillId="3" fontId="26" numFmtId="0" xfId="0" applyBorder="1" applyFont="1"/>
    <xf borderId="0" fillId="23" fontId="26" numFmtId="164" xfId="0" applyAlignment="1" applyFill="1" applyFont="1" applyNumberFormat="1">
      <alignment vertical="bottom"/>
    </xf>
    <xf borderId="0" fillId="0" fontId="26" numFmtId="0" xfId="0" applyAlignment="1" applyFont="1">
      <alignment vertical="bottom"/>
    </xf>
    <xf borderId="10" fillId="3" fontId="29" numFmtId="166" xfId="0" applyAlignment="1" applyBorder="1" applyFont="1" applyNumberFormat="1">
      <alignment horizontal="center" shrinkToFit="0" wrapText="1"/>
    </xf>
    <xf borderId="10" fillId="3" fontId="31" numFmtId="0" xfId="0" applyAlignment="1" applyBorder="1" applyFont="1">
      <alignment horizontal="center" shrinkToFit="0" wrapText="1"/>
    </xf>
    <xf borderId="0" fillId="0" fontId="30" numFmtId="0" xfId="0" applyAlignment="1" applyFont="1">
      <alignment horizontal="center" readingOrder="0" shrinkToFit="0" vertical="center" wrapText="1"/>
    </xf>
    <xf borderId="10" fillId="3" fontId="32" numFmtId="0" xfId="0" applyAlignment="1" applyBorder="1" applyFont="1">
      <alignment horizontal="center" shrinkToFit="0" wrapText="1"/>
    </xf>
    <xf borderId="10" fillId="3" fontId="33" numFmtId="0" xfId="0" applyAlignment="1" applyBorder="1" applyFont="1">
      <alignment horizontal="center" shrinkToFit="0" wrapText="1"/>
    </xf>
    <xf borderId="0" fillId="0" fontId="32" numFmtId="0" xfId="0" applyAlignment="1" applyFont="1">
      <alignment horizontal="center" shrinkToFit="0" vertical="center" wrapText="1"/>
    </xf>
    <xf borderId="10" fillId="3" fontId="34" numFmtId="0" xfId="0" applyAlignment="1" applyBorder="1" applyFont="1">
      <alignment horizontal="center" shrinkToFit="0" wrapText="1"/>
    </xf>
    <xf borderId="10" fillId="3" fontId="32" numFmtId="164" xfId="0" applyAlignment="1" applyBorder="1" applyFont="1" applyNumberFormat="1">
      <alignment horizontal="center" readingOrder="0" shrinkToFit="0" wrapText="1"/>
    </xf>
    <xf borderId="10" fillId="24" fontId="32" numFmtId="0" xfId="0" applyAlignment="1" applyBorder="1" applyFill="1" applyFont="1">
      <alignment horizontal="center" shrinkToFit="0" wrapText="1"/>
    </xf>
    <xf borderId="10" fillId="3" fontId="29" numFmtId="166" xfId="0" applyAlignment="1" applyBorder="1" applyFont="1" applyNumberFormat="1">
      <alignment horizontal="center" shrinkToFit="0" vertical="bottom" wrapText="1"/>
    </xf>
    <xf borderId="10" fillId="0" fontId="35" numFmtId="0" xfId="0" applyAlignment="1" applyBorder="1" applyFont="1">
      <alignment horizontal="center" shrinkToFit="0" vertical="bottom" wrapText="1"/>
    </xf>
    <xf borderId="10" fillId="3" fontId="29" numFmtId="0" xfId="0" applyAlignment="1" applyBorder="1" applyFont="1">
      <alignment horizontal="center" shrinkToFit="0" vertical="bottom" wrapText="1"/>
    </xf>
    <xf borderId="10" fillId="9" fontId="29" numFmtId="0" xfId="0" applyAlignment="1" applyBorder="1" applyFont="1">
      <alignment horizontal="center" shrinkToFit="0" wrapText="1"/>
    </xf>
    <xf borderId="0" fillId="23" fontId="2" numFmtId="0" xfId="0" applyFont="1"/>
    <xf borderId="0" fillId="0" fontId="12" numFmtId="0" xfId="0" applyAlignment="1" applyFont="1">
      <alignment horizontal="center" readingOrder="0"/>
    </xf>
    <xf borderId="11" fillId="0" fontId="1" numFmtId="0" xfId="0" applyAlignment="1" applyBorder="1" applyFont="1">
      <alignment readingOrder="0" shrinkToFit="0" vertical="bottom" wrapText="1"/>
    </xf>
    <xf borderId="11" fillId="0" fontId="36" numFmtId="0" xfId="0" applyAlignment="1" applyBorder="1" applyFont="1">
      <alignment readingOrder="0" shrinkToFit="0" vertical="bottom" wrapText="1"/>
    </xf>
    <xf borderId="11" fillId="0" fontId="1" numFmtId="49" xfId="0" applyAlignment="1" applyBorder="1" applyFont="1" applyNumberFormat="1">
      <alignment readingOrder="0" shrinkToFit="0" vertical="bottom" wrapText="1"/>
    </xf>
    <xf borderId="11" fillId="2" fontId="3" numFmtId="0" xfId="0" applyAlignment="1" applyBorder="1" applyFont="1">
      <alignment readingOrder="0" shrinkToFit="0" vertical="bottom" wrapText="1"/>
    </xf>
    <xf borderId="11" fillId="25" fontId="37" numFmtId="0" xfId="0" applyAlignment="1" applyBorder="1" applyFill="1" applyFont="1">
      <alignment readingOrder="0" shrinkToFit="0" vertical="bottom" wrapText="1"/>
    </xf>
    <xf borderId="11" fillId="2" fontId="3" numFmtId="49" xfId="0" applyAlignment="1" applyBorder="1" applyFont="1" applyNumberFormat="1">
      <alignment readingOrder="0" shrinkToFit="0" vertical="bottom" wrapText="1"/>
    </xf>
    <xf borderId="11" fillId="0" fontId="2" numFmtId="0" xfId="0" applyAlignment="1" applyBorder="1" applyFont="1">
      <alignment readingOrder="0"/>
    </xf>
    <xf borderId="11" fillId="5" fontId="12" numFmtId="0" xfId="0" applyAlignment="1" applyBorder="1" applyFont="1">
      <alignment readingOrder="0" shrinkToFit="0" wrapText="1"/>
    </xf>
    <xf borderId="11" fillId="5" fontId="38" numFmtId="0" xfId="0" applyAlignment="1" applyBorder="1" applyFont="1">
      <alignment readingOrder="0" shrinkToFit="0" wrapText="1"/>
    </xf>
    <xf borderId="11" fillId="5" fontId="39" numFmtId="0" xfId="0" applyAlignment="1" applyBorder="1" applyFont="1">
      <alignment readingOrder="0" shrinkToFit="0" wrapText="1"/>
    </xf>
    <xf borderId="7" fillId="23" fontId="2" numFmtId="49" xfId="0" applyAlignment="1" applyBorder="1" applyFont="1" applyNumberFormat="1">
      <alignment readingOrder="0"/>
    </xf>
    <xf borderId="7" fillId="0" fontId="2" numFmtId="0" xfId="0" applyAlignment="1" applyBorder="1" applyFont="1">
      <alignment readingOrder="0"/>
    </xf>
    <xf borderId="7" fillId="23" fontId="2" numFmtId="0" xfId="0" applyAlignment="1" applyBorder="1" applyFont="1">
      <alignment readingOrder="0"/>
    </xf>
    <xf borderId="7" fillId="23" fontId="2" numFmtId="0" xfId="0" applyAlignment="1" applyBorder="1" applyFont="1">
      <alignment readingOrder="0" shrinkToFit="0" wrapText="1"/>
    </xf>
    <xf borderId="11" fillId="23" fontId="13" numFmtId="0" xfId="0" applyAlignment="1" applyBorder="1" applyFont="1">
      <alignment readingOrder="0" shrinkToFit="0" wrapText="1"/>
    </xf>
    <xf borderId="11" fillId="5" fontId="13" numFmtId="0" xfId="0" applyAlignment="1" applyBorder="1" applyFont="1">
      <alignment readingOrder="0" shrinkToFit="0" wrapText="1"/>
    </xf>
    <xf borderId="11" fillId="5" fontId="5" numFmtId="0" xfId="0" applyAlignment="1" applyBorder="1" applyFont="1">
      <alignment shrinkToFit="0" vertical="bottom" wrapText="1"/>
    </xf>
    <xf borderId="7" fillId="0" fontId="2" numFmtId="0" xfId="0" applyAlignment="1" applyBorder="1" applyFont="1">
      <alignment readingOrder="0" shrinkToFit="0" wrapText="1"/>
    </xf>
    <xf borderId="11" fillId="12" fontId="2" numFmtId="0" xfId="0" applyAlignment="1" applyBorder="1" applyFont="1">
      <alignment readingOrder="0" shrinkToFit="0" wrapText="1"/>
    </xf>
    <xf borderId="11" fillId="26" fontId="2" numFmtId="0" xfId="0" applyAlignment="1" applyBorder="1" applyFill="1" applyFont="1">
      <alignment readingOrder="0" shrinkToFit="0" wrapText="1"/>
    </xf>
    <xf borderId="11" fillId="5" fontId="40" numFmtId="0" xfId="0" applyAlignment="1" applyBorder="1" applyFont="1">
      <alignment readingOrder="0" shrinkToFit="0" wrapText="1"/>
    </xf>
    <xf borderId="11" fillId="0" fontId="2" numFmtId="0" xfId="0" applyAlignment="1" applyBorder="1" applyFont="1">
      <alignment shrinkToFit="0" wrapText="1"/>
    </xf>
    <xf borderId="11" fillId="0" fontId="2" numFmtId="0" xfId="0" applyBorder="1" applyFont="1"/>
    <xf borderId="11" fillId="13" fontId="2" numFmtId="0" xfId="0" applyAlignment="1" applyBorder="1" applyFont="1">
      <alignment readingOrder="0" shrinkToFit="0" wrapText="1"/>
    </xf>
    <xf borderId="11" fillId="6" fontId="38" numFmtId="0" xfId="0" applyAlignment="1" applyBorder="1" applyFont="1">
      <alignment readingOrder="0" shrinkToFit="0" wrapText="1"/>
    </xf>
    <xf borderId="11" fillId="6" fontId="39" numFmtId="0" xfId="0" applyAlignment="1" applyBorder="1" applyFont="1">
      <alignment readingOrder="0" shrinkToFit="0" wrapText="1"/>
    </xf>
    <xf borderId="7" fillId="6" fontId="2" numFmtId="49" xfId="0" applyAlignment="1" applyBorder="1" applyFont="1" applyNumberFormat="1">
      <alignment readingOrder="0"/>
    </xf>
    <xf borderId="11" fillId="6" fontId="13" numFmtId="0" xfId="0" applyAlignment="1" applyBorder="1" applyFont="1">
      <alignment readingOrder="0" shrinkToFit="0" wrapText="1"/>
    </xf>
    <xf borderId="11" fillId="0" fontId="2" numFmtId="0" xfId="0" applyAlignment="1" applyBorder="1" applyFont="1">
      <alignment readingOrder="0" shrinkToFit="0" wrapText="1"/>
    </xf>
    <xf borderId="11" fillId="6" fontId="13" numFmtId="0" xfId="0" applyAlignment="1" applyBorder="1" applyFont="1">
      <alignment shrinkToFit="0" wrapText="1"/>
    </xf>
    <xf borderId="11" fillId="6" fontId="5" numFmtId="0" xfId="0" applyAlignment="1" applyBorder="1" applyFont="1">
      <alignment shrinkToFit="0" vertical="bottom" wrapText="1"/>
    </xf>
    <xf borderId="11" fillId="6" fontId="13" numFmtId="0" xfId="0" applyAlignment="1" applyBorder="1" applyFont="1">
      <alignment shrinkToFit="0" wrapText="1"/>
    </xf>
    <xf borderId="11" fillId="16" fontId="2" numFmtId="0" xfId="0" applyAlignment="1" applyBorder="1" applyFont="1">
      <alignment readingOrder="0" shrinkToFit="0" wrapText="1"/>
    </xf>
    <xf borderId="11" fillId="15" fontId="2" numFmtId="0" xfId="0" applyAlignment="1" applyBorder="1" applyFont="1">
      <alignment readingOrder="0" shrinkToFit="0" wrapText="1"/>
    </xf>
    <xf borderId="11" fillId="7" fontId="41" numFmtId="0" xfId="0" applyAlignment="1" applyBorder="1" applyFont="1">
      <alignment readingOrder="0" shrinkToFit="0" wrapText="1"/>
    </xf>
    <xf borderId="11" fillId="7" fontId="39" numFmtId="0" xfId="0" applyAlignment="1" applyBorder="1" applyFont="1">
      <alignment readingOrder="0" shrinkToFit="0" wrapText="1"/>
    </xf>
    <xf borderId="11" fillId="0" fontId="2" numFmtId="49" xfId="0" applyAlignment="1" applyBorder="1" applyFont="1" applyNumberFormat="1">
      <alignment readingOrder="0" shrinkToFit="0" wrapText="1"/>
    </xf>
    <xf borderId="11" fillId="7" fontId="13" numFmtId="0" xfId="0" applyAlignment="1" applyBorder="1" applyFont="1">
      <alignment readingOrder="0" shrinkToFit="0" wrapText="1"/>
    </xf>
    <xf borderId="11" fillId="7" fontId="13" numFmtId="0" xfId="0" applyAlignment="1" applyBorder="1" applyFont="1">
      <alignment shrinkToFit="0" wrapText="1"/>
    </xf>
    <xf borderId="11" fillId="7" fontId="5" numFmtId="0" xfId="0" applyAlignment="1" applyBorder="1" applyFont="1">
      <alignment shrinkToFit="0" vertical="bottom" wrapText="1"/>
    </xf>
    <xf borderId="12" fillId="7" fontId="13" numFmtId="0" xfId="0" applyAlignment="1" applyBorder="1" applyFont="1">
      <alignment horizontal="center" readingOrder="0" shrinkToFit="0" vertical="center" wrapText="1"/>
    </xf>
    <xf borderId="13" fillId="0" fontId="42" numFmtId="0" xfId="0" applyBorder="1" applyFont="1"/>
    <xf borderId="11" fillId="7" fontId="17" numFmtId="0" xfId="0" applyAlignment="1" applyBorder="1" applyFont="1">
      <alignment readingOrder="0" shrinkToFit="0" wrapText="1"/>
    </xf>
    <xf borderId="11" fillId="7" fontId="17" numFmtId="0" xfId="0" applyAlignment="1" applyBorder="1" applyFont="1">
      <alignment shrinkToFit="0" wrapText="1"/>
    </xf>
    <xf borderId="11" fillId="7" fontId="11" numFmtId="0" xfId="0" applyAlignment="1" applyBorder="1" applyFont="1">
      <alignment shrinkToFit="0" vertical="bottom" wrapText="1"/>
    </xf>
    <xf borderId="12" fillId="16" fontId="2" numFmtId="0" xfId="0" applyAlignment="1" applyBorder="1" applyFont="1">
      <alignment readingOrder="0" shrinkToFit="0" wrapText="1"/>
    </xf>
    <xf borderId="14" fillId="0" fontId="42" numFmtId="0" xfId="0" applyBorder="1" applyFont="1"/>
    <xf borderId="11" fillId="8" fontId="39" numFmtId="0" xfId="0" applyAlignment="1" applyBorder="1" applyFont="1">
      <alignment readingOrder="0" shrinkToFit="0" wrapText="1"/>
    </xf>
    <xf borderId="12" fillId="7" fontId="13" numFmtId="0" xfId="0" applyAlignment="1" applyBorder="1" applyFont="1">
      <alignment readingOrder="0" shrinkToFit="0" wrapText="1"/>
    </xf>
    <xf borderId="11" fillId="9" fontId="41" numFmtId="0" xfId="0" applyAlignment="1" applyBorder="1" applyFont="1">
      <alignment readingOrder="0" shrinkToFit="0" wrapText="1"/>
    </xf>
    <xf borderId="11" fillId="9" fontId="39" numFmtId="0" xfId="0" applyAlignment="1" applyBorder="1" applyFont="1">
      <alignment readingOrder="0" shrinkToFit="0" wrapText="1"/>
    </xf>
    <xf borderId="7" fillId="3" fontId="43" numFmtId="0" xfId="0" applyAlignment="1" applyBorder="1" applyFont="1">
      <alignment readingOrder="0" shrinkToFit="0" wrapText="1"/>
    </xf>
    <xf borderId="11" fillId="9" fontId="38" numFmtId="0" xfId="0" applyAlignment="1" applyBorder="1" applyFont="1">
      <alignment readingOrder="0" shrinkToFit="0" wrapText="1"/>
    </xf>
    <xf borderId="11" fillId="9" fontId="13" numFmtId="0" xfId="0" applyAlignment="1" applyBorder="1" applyFont="1">
      <alignment readingOrder="0" shrinkToFit="0" wrapText="1"/>
    </xf>
    <xf borderId="11" fillId="9" fontId="13" numFmtId="0" xfId="0" applyAlignment="1" applyBorder="1" applyFont="1">
      <alignment shrinkToFit="0" wrapText="1"/>
    </xf>
    <xf borderId="11" fillId="9" fontId="5" numFmtId="0" xfId="0" applyAlignment="1" applyBorder="1" applyFont="1">
      <alignment shrinkToFit="0" vertical="bottom" wrapText="1"/>
    </xf>
    <xf borderId="7" fillId="3" fontId="44" numFmtId="0" xfId="0" applyAlignment="1" applyBorder="1" applyFont="1">
      <alignment readingOrder="0" shrinkToFit="0" wrapText="1"/>
    </xf>
    <xf borderId="11" fillId="11" fontId="38" numFmtId="0" xfId="0" applyAlignment="1" applyBorder="1" applyFont="1">
      <alignment readingOrder="0" shrinkToFit="0" wrapText="1"/>
    </xf>
    <xf borderId="11" fillId="11" fontId="39" numFmtId="0" xfId="0" applyAlignment="1" applyBorder="1" applyFont="1">
      <alignment readingOrder="0" shrinkToFit="0" wrapText="1"/>
    </xf>
    <xf borderId="11" fillId="15" fontId="2" numFmtId="49" xfId="0" applyAlignment="1" applyBorder="1" applyFont="1" applyNumberFormat="1">
      <alignment readingOrder="0" shrinkToFit="0" wrapText="1"/>
    </xf>
    <xf borderId="11" fillId="11" fontId="17" numFmtId="0" xfId="0" applyAlignment="1" applyBorder="1" applyFont="1">
      <alignment readingOrder="0" shrinkToFit="0" wrapText="1"/>
    </xf>
    <xf borderId="11" fillId="11" fontId="17" numFmtId="0" xfId="0" applyAlignment="1" applyBorder="1" applyFont="1">
      <alignment shrinkToFit="0" wrapText="1"/>
    </xf>
    <xf borderId="11" fillId="11" fontId="11" numFmtId="0" xfId="0" applyAlignment="1" applyBorder="1" applyFont="1">
      <alignment shrinkToFit="0" vertical="bottom" wrapText="1"/>
    </xf>
    <xf borderId="11" fillId="0" fontId="2" numFmtId="49" xfId="0" applyAlignment="1" applyBorder="1" applyFont="1" applyNumberFormat="1">
      <alignment shrinkToFit="0" wrapText="1"/>
    </xf>
    <xf borderId="11" fillId="5" fontId="17" numFmtId="0" xfId="0" applyAlignment="1" applyBorder="1" applyFont="1">
      <alignment readingOrder="0" shrinkToFit="0" wrapText="1"/>
    </xf>
    <xf borderId="11" fillId="5" fontId="17" numFmtId="0" xfId="0" applyAlignment="1" applyBorder="1" applyFont="1">
      <alignment shrinkToFit="0" wrapText="1"/>
    </xf>
    <xf borderId="11" fillId="5" fontId="11" numFmtId="0" xfId="0" applyAlignment="1" applyBorder="1" applyFont="1">
      <alignment shrinkToFit="0" vertical="bottom" wrapText="1"/>
    </xf>
    <xf borderId="11" fillId="5" fontId="13" numFmtId="0" xfId="0" applyAlignment="1" applyBorder="1" applyFont="1">
      <alignment shrinkToFit="0" wrapText="1"/>
    </xf>
    <xf borderId="11" fillId="0" fontId="40" numFmtId="0" xfId="0" applyAlignment="1" applyBorder="1" applyFont="1">
      <alignment readingOrder="0"/>
    </xf>
    <xf borderId="11" fillId="0" fontId="40" numFmtId="0" xfId="0" applyAlignment="1" applyBorder="1" applyFont="1">
      <alignment readingOrder="0" shrinkToFit="0" wrapText="1"/>
    </xf>
    <xf borderId="11" fillId="11" fontId="13" numFmtId="0" xfId="0" applyAlignment="1" applyBorder="1" applyFont="1">
      <alignment readingOrder="0" shrinkToFit="0" wrapText="1"/>
    </xf>
    <xf borderId="11" fillId="11" fontId="13" numFmtId="0" xfId="0" applyAlignment="1" applyBorder="1" applyFont="1">
      <alignment shrinkToFit="0" wrapText="1"/>
    </xf>
    <xf borderId="11" fillId="11" fontId="5" numFmtId="0" xfId="0" applyAlignment="1" applyBorder="1" applyFont="1">
      <alignment shrinkToFit="0" vertical="bottom" wrapText="1"/>
    </xf>
    <xf borderId="11" fillId="0" fontId="40" numFmtId="0" xfId="0" applyBorder="1" applyFont="1"/>
    <xf borderId="0" fillId="3" fontId="45" numFmtId="0" xfId="0" applyAlignment="1" applyFont="1">
      <alignment shrinkToFit="0" wrapText="1"/>
    </xf>
    <xf borderId="11" fillId="0" fontId="38" numFmtId="0" xfId="0" applyAlignment="1" applyBorder="1" applyFont="1">
      <alignment readingOrder="0" shrinkToFit="0" wrapText="1"/>
    </xf>
    <xf borderId="11" fillId="0" fontId="39" numFmtId="0" xfId="0" applyAlignment="1" applyBorder="1" applyFont="1">
      <alignment readingOrder="0" shrinkToFit="0" wrapText="1"/>
    </xf>
    <xf borderId="12" fillId="5" fontId="12" numFmtId="0" xfId="0" applyAlignment="1" applyBorder="1" applyFont="1">
      <alignment readingOrder="0" shrinkToFit="0" wrapText="1"/>
    </xf>
    <xf borderId="12" fillId="0" fontId="38" numFmtId="0" xfId="0" applyAlignment="1" applyBorder="1" applyFont="1">
      <alignment readingOrder="0" shrinkToFit="0" wrapText="1"/>
    </xf>
    <xf borderId="12" fillId="0" fontId="39" numFmtId="0" xfId="0" applyAlignment="1" applyBorder="1" applyFont="1">
      <alignment readingOrder="0" shrinkToFit="0" wrapText="1"/>
    </xf>
    <xf borderId="12" fillId="0" fontId="2" numFmtId="49" xfId="0" applyAlignment="1" applyBorder="1" applyFont="1" applyNumberFormat="1">
      <alignment readingOrder="0" shrinkToFit="0" wrapText="1"/>
    </xf>
    <xf borderId="0" fillId="3" fontId="43" numFmtId="0" xfId="0" applyAlignment="1" applyFont="1">
      <alignment readingOrder="0" shrinkToFit="0" wrapText="1"/>
    </xf>
    <xf borderId="12" fillId="0" fontId="2" numFmtId="0" xfId="0" applyBorder="1" applyFont="1"/>
    <xf borderId="12" fillId="0" fontId="2" numFmtId="0" xfId="0" applyAlignment="1" applyBorder="1" applyFont="1">
      <alignment shrinkToFit="0" wrapText="1"/>
    </xf>
    <xf borderId="0" fillId="0" fontId="40" numFmtId="0" xfId="0" applyFont="1"/>
    <xf borderId="0" fillId="0" fontId="2" numFmtId="49" xfId="0" applyAlignment="1" applyFont="1" applyNumberFormat="1">
      <alignment shrinkToFit="0" wrapText="1"/>
    </xf>
    <xf borderId="0" fillId="26" fontId="2" numFmtId="0" xfId="0" applyAlignment="1" applyFont="1">
      <alignment shrinkToFit="0" wrapText="1"/>
    </xf>
    <xf borderId="0" fillId="11" fontId="2" numFmtId="0" xfId="0" applyAlignment="1" applyFont="1">
      <alignment readingOrder="0" shrinkToFit="0" wrapText="1"/>
    </xf>
    <xf borderId="0" fillId="0" fontId="2" numFmtId="49" xfId="0" applyAlignment="1" applyFont="1" applyNumberFormat="1">
      <alignment readingOrder="0" shrinkToFit="0" wrapText="1"/>
    </xf>
    <xf borderId="0" fillId="0" fontId="2" numFmtId="49" xfId="0" applyFont="1" applyNumberFormat="1"/>
    <xf borderId="11" fillId="0" fontId="12" numFmtId="0" xfId="0" applyAlignment="1" applyBorder="1" applyFont="1">
      <alignment readingOrder="0" shrinkToFit="0" wrapText="1"/>
    </xf>
    <xf borderId="7" fillId="0" fontId="2" numFmtId="49" xfId="0" applyAlignment="1" applyBorder="1" applyFont="1" applyNumberFormat="1">
      <alignment readingOrder="0"/>
    </xf>
    <xf borderId="11" fillId="0" fontId="13" numFmtId="0" xfId="0" applyAlignment="1" applyBorder="1" applyFont="1">
      <alignment readingOrder="0" shrinkToFit="0" wrapText="1"/>
    </xf>
    <xf borderId="11" fillId="0" fontId="5" numFmtId="0" xfId="0" applyAlignment="1" applyBorder="1" applyFont="1">
      <alignment shrinkToFit="0" vertical="bottom" wrapText="1"/>
    </xf>
    <xf borderId="11" fillId="0" fontId="13" numFmtId="0" xfId="0" applyAlignment="1" applyBorder="1" applyFont="1">
      <alignment shrinkToFit="0" wrapText="1"/>
    </xf>
    <xf borderId="11" fillId="0" fontId="13" numFmtId="0" xfId="0" applyAlignment="1" applyBorder="1" applyFont="1">
      <alignment shrinkToFit="0" wrapText="1"/>
    </xf>
    <xf borderId="11" fillId="0" fontId="41" numFmtId="0" xfId="0" applyAlignment="1" applyBorder="1" applyFont="1">
      <alignment readingOrder="0" shrinkToFit="0" wrapText="1"/>
    </xf>
    <xf borderId="12" fillId="0" fontId="13" numFmtId="0" xfId="0" applyAlignment="1" applyBorder="1" applyFont="1">
      <alignment horizontal="center" readingOrder="0" shrinkToFit="0" vertical="center" wrapText="1"/>
    </xf>
    <xf borderId="11" fillId="0" fontId="17" numFmtId="0" xfId="0" applyAlignment="1" applyBorder="1" applyFont="1">
      <alignment readingOrder="0" shrinkToFit="0" wrapText="1"/>
    </xf>
    <xf borderId="11" fillId="0" fontId="17" numFmtId="0" xfId="0" applyAlignment="1" applyBorder="1" applyFont="1">
      <alignment shrinkToFit="0" wrapText="1"/>
    </xf>
    <xf borderId="11" fillId="0" fontId="11" numFmtId="0" xfId="0" applyAlignment="1" applyBorder="1" applyFont="1">
      <alignment shrinkToFit="0" vertical="bottom" wrapText="1"/>
    </xf>
    <xf borderId="12" fillId="0" fontId="13" numFmtId="0" xfId="0" applyAlignment="1" applyBorder="1" applyFont="1">
      <alignment readingOrder="0" shrinkToFit="0" wrapText="1"/>
    </xf>
    <xf borderId="7" fillId="0" fontId="43" numFmtId="0" xfId="0" applyAlignment="1" applyBorder="1" applyFont="1">
      <alignment readingOrder="0" shrinkToFit="0" wrapText="1"/>
    </xf>
    <xf borderId="7" fillId="0" fontId="44" numFmtId="0" xfId="0" applyAlignment="1" applyBorder="1" applyFont="1">
      <alignment readingOrder="0" shrinkToFit="0" wrapText="1"/>
    </xf>
    <xf borderId="0" fillId="0" fontId="45" numFmtId="0" xfId="0" applyAlignment="1" applyFont="1">
      <alignment shrinkToFit="0" wrapText="1"/>
    </xf>
    <xf borderId="12" fillId="0" fontId="12" numFmtId="0" xfId="0" applyAlignment="1" applyBorder="1" applyFont="1">
      <alignment readingOrder="0" shrinkToFit="0" wrapText="1"/>
    </xf>
    <xf borderId="0" fillId="0" fontId="43" numFmtId="0" xfId="0" applyAlignment="1" applyFont="1">
      <alignment readingOrder="0" shrinkToFit="0" wrapText="1"/>
    </xf>
    <xf borderId="1" fillId="3" fontId="4" numFmtId="0" xfId="0" applyAlignment="1" applyBorder="1" applyFont="1">
      <alignment readingOrder="0" vertical="bottom"/>
    </xf>
    <xf borderId="1" fillId="3" fontId="26" numFmtId="0" xfId="0" applyAlignment="1" applyBorder="1" applyFont="1">
      <alignment vertical="bottom"/>
    </xf>
    <xf borderId="2" fillId="3" fontId="4" numFmtId="0" xfId="0" applyAlignment="1" applyBorder="1" applyFont="1">
      <alignment vertical="bottom"/>
    </xf>
    <xf borderId="2" fillId="3" fontId="4" numFmtId="0" xfId="0" applyAlignment="1" applyBorder="1" applyFont="1">
      <alignment shrinkToFit="0" vertical="bottom" wrapText="1"/>
    </xf>
    <xf borderId="2" fillId="0" fontId="26" numFmtId="0" xfId="0" applyAlignment="1" applyBorder="1" applyFont="1">
      <alignment readingOrder="0" vertical="bottom"/>
    </xf>
    <xf borderId="2" fillId="0" fontId="26" numFmtId="0" xfId="0" applyAlignment="1" applyBorder="1" applyFont="1">
      <alignment vertical="bottom"/>
    </xf>
    <xf borderId="2" fillId="0" fontId="26" numFmtId="0" xfId="0" applyAlignment="1" applyBorder="1" applyFont="1">
      <alignment vertical="bottom"/>
    </xf>
    <xf borderId="3" fillId="0" fontId="26" numFmtId="0" xfId="0" applyAlignment="1" applyBorder="1" applyFont="1">
      <alignment vertical="bottom"/>
    </xf>
    <xf borderId="0" fillId="0" fontId="26" numFmtId="0" xfId="0" applyAlignment="1" applyFont="1">
      <alignment vertical="bottom"/>
    </xf>
    <xf borderId="1" fillId="3" fontId="6" numFmtId="0" xfId="0" applyAlignment="1" applyBorder="1" applyFont="1">
      <alignment readingOrder="0" vertical="bottom"/>
    </xf>
    <xf borderId="2" fillId="3" fontId="4" numFmtId="0" xfId="0" applyAlignment="1" applyBorder="1" applyFont="1">
      <alignment readingOrder="0" vertical="bottom"/>
    </xf>
    <xf borderId="0" fillId="3" fontId="7"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hyperlink" Target="https://vk.com/id62129453" TargetMode="External"/><Relationship Id="rId10" Type="http://schemas.openxmlformats.org/officeDocument/2006/relationships/hyperlink" Target="https://vk.com/id68496575" TargetMode="External"/><Relationship Id="rId13" Type="http://schemas.openxmlformats.org/officeDocument/2006/relationships/hyperlink" Target="https://vk.com/id2254965" TargetMode="External"/><Relationship Id="rId12" Type="http://schemas.openxmlformats.org/officeDocument/2006/relationships/hyperlink" Target="https://vk.com/id91229" TargetMode="External"/><Relationship Id="rId1" Type="http://schemas.openxmlformats.org/officeDocument/2006/relationships/hyperlink" Target="https://vk.com/page-58810575_54885011" TargetMode="External"/><Relationship Id="rId2" Type="http://schemas.openxmlformats.org/officeDocument/2006/relationships/hyperlink" Target="https://vk.com/id5338326" TargetMode="External"/><Relationship Id="rId3" Type="http://schemas.openxmlformats.org/officeDocument/2006/relationships/hyperlink" Target="https://vk.com/id95286493" TargetMode="External"/><Relationship Id="rId4" Type="http://schemas.openxmlformats.org/officeDocument/2006/relationships/hyperlink" Target="https://vk.com/id646422" TargetMode="External"/><Relationship Id="rId9" Type="http://schemas.openxmlformats.org/officeDocument/2006/relationships/hyperlink" Target="https://vk.com/id65602333" TargetMode="External"/><Relationship Id="rId15" Type="http://schemas.openxmlformats.org/officeDocument/2006/relationships/hyperlink" Target="https://vk.com/id36062490" TargetMode="External"/><Relationship Id="rId14" Type="http://schemas.openxmlformats.org/officeDocument/2006/relationships/hyperlink" Target="https://vk.com/id45872741" TargetMode="External"/><Relationship Id="rId17" Type="http://schemas.openxmlformats.org/officeDocument/2006/relationships/hyperlink" Target="https://vk.com/id1143393" TargetMode="External"/><Relationship Id="rId16" Type="http://schemas.openxmlformats.org/officeDocument/2006/relationships/hyperlink" Target="https://vk.com/id127822458" TargetMode="External"/><Relationship Id="rId5" Type="http://schemas.openxmlformats.org/officeDocument/2006/relationships/hyperlink" Target="https://vk.com/id590853616" TargetMode="External"/><Relationship Id="rId19" Type="http://schemas.openxmlformats.org/officeDocument/2006/relationships/drawing" Target="../drawings/drawing11.xml"/><Relationship Id="rId6" Type="http://schemas.openxmlformats.org/officeDocument/2006/relationships/hyperlink" Target="https://vk.com/id50984427" TargetMode="External"/><Relationship Id="rId18" Type="http://schemas.openxmlformats.org/officeDocument/2006/relationships/hyperlink" Target="https://vk.com/id529159402" TargetMode="External"/><Relationship Id="rId7" Type="http://schemas.openxmlformats.org/officeDocument/2006/relationships/hyperlink" Target="https://vk.com/id15917562" TargetMode="External"/><Relationship Id="rId8" Type="http://schemas.openxmlformats.org/officeDocument/2006/relationships/hyperlink" Target="https://vk.com/id173135856"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25"/>
    <col customWidth="1" min="2" max="2" width="22.25"/>
    <col customWidth="1" min="3" max="3" width="80.0"/>
    <col customWidth="1" min="4" max="4" width="34.38"/>
    <col customWidth="1" min="5" max="5" width="28.88"/>
    <col customWidth="1" min="7" max="7" width="27.38"/>
    <col customWidth="1" min="8" max="10" width="34.0"/>
    <col customWidth="1" min="11" max="11" width="24.38"/>
  </cols>
  <sheetData>
    <row r="1" ht="48.75" customHeight="1">
      <c r="A1" s="1" t="s">
        <v>0</v>
      </c>
      <c r="B1" s="1" t="s">
        <v>1</v>
      </c>
      <c r="C1" s="1" t="s">
        <v>2</v>
      </c>
      <c r="D1" s="1" t="s">
        <v>3</v>
      </c>
      <c r="E1" s="1" t="s">
        <v>4</v>
      </c>
      <c r="F1" s="2"/>
      <c r="G1" s="1" t="s">
        <v>5</v>
      </c>
      <c r="H1" s="1" t="s">
        <v>6</v>
      </c>
      <c r="I1" s="1" t="s">
        <v>7</v>
      </c>
      <c r="J1" s="1"/>
      <c r="K1" s="1" t="s">
        <v>8</v>
      </c>
      <c r="L1" s="3"/>
      <c r="M1" s="3"/>
      <c r="N1" s="3"/>
      <c r="O1" s="3"/>
      <c r="P1" s="3"/>
      <c r="Q1" s="3"/>
      <c r="R1" s="3"/>
      <c r="S1" s="3"/>
      <c r="T1" s="3"/>
      <c r="U1" s="3"/>
      <c r="V1" s="3"/>
      <c r="W1" s="3"/>
      <c r="X1" s="3"/>
      <c r="Y1" s="3"/>
      <c r="Z1" s="3"/>
      <c r="AA1" s="3"/>
    </row>
    <row r="2">
      <c r="A2" s="4" t="s">
        <v>9</v>
      </c>
      <c r="B2" s="5" t="s">
        <v>10</v>
      </c>
      <c r="C2" s="6" t="s">
        <v>11</v>
      </c>
      <c r="D2" s="6" t="s">
        <v>12</v>
      </c>
      <c r="E2" s="6" t="s">
        <v>13</v>
      </c>
      <c r="F2" s="5" t="s">
        <v>14</v>
      </c>
      <c r="G2" s="5" t="s">
        <v>15</v>
      </c>
      <c r="H2" s="5" t="s">
        <v>16</v>
      </c>
      <c r="I2" s="5" t="s">
        <v>17</v>
      </c>
      <c r="J2" s="5" t="s">
        <v>18</v>
      </c>
      <c r="K2" s="7" t="s">
        <v>19</v>
      </c>
    </row>
    <row r="3">
      <c r="A3" s="8"/>
      <c r="B3" s="9" t="s">
        <v>20</v>
      </c>
      <c r="C3" s="9" t="s">
        <v>21</v>
      </c>
      <c r="D3" s="10"/>
      <c r="E3" s="11"/>
      <c r="F3" s="12"/>
      <c r="G3" s="12"/>
      <c r="H3" s="12"/>
      <c r="I3" s="12"/>
      <c r="J3" s="12"/>
      <c r="K3" s="13"/>
    </row>
    <row r="4">
      <c r="A4" s="8"/>
      <c r="B4" s="9" t="s">
        <v>20</v>
      </c>
      <c r="C4" s="14" t="s">
        <v>22</v>
      </c>
      <c r="D4" s="10"/>
      <c r="E4" s="11"/>
      <c r="F4" s="12"/>
      <c r="H4" s="12"/>
      <c r="I4" s="12"/>
      <c r="J4" s="12"/>
      <c r="K4" s="13"/>
    </row>
    <row r="5">
      <c r="A5" s="8"/>
      <c r="B5" s="9" t="s">
        <v>20</v>
      </c>
      <c r="C5" s="14" t="s">
        <v>23</v>
      </c>
      <c r="D5" s="10"/>
      <c r="E5" s="11"/>
      <c r="F5" s="12"/>
      <c r="G5" s="12"/>
      <c r="H5" s="12"/>
      <c r="I5" s="12"/>
      <c r="J5" s="12"/>
      <c r="K5" s="13"/>
    </row>
    <row r="6">
      <c r="A6" s="8"/>
      <c r="B6" s="9" t="s">
        <v>24</v>
      </c>
      <c r="C6" s="14" t="s">
        <v>25</v>
      </c>
      <c r="D6" s="10"/>
      <c r="E6" s="11"/>
      <c r="F6" s="12"/>
      <c r="G6" s="12"/>
      <c r="H6" s="12"/>
      <c r="I6" s="12"/>
      <c r="J6" s="12"/>
      <c r="K6" s="13"/>
    </row>
    <row r="7">
      <c r="A7" s="8"/>
      <c r="B7" s="9" t="s">
        <v>24</v>
      </c>
      <c r="C7" s="14" t="s">
        <v>26</v>
      </c>
      <c r="D7" s="10"/>
      <c r="E7" s="11"/>
      <c r="F7" s="12"/>
      <c r="G7" s="12"/>
      <c r="H7" s="12"/>
      <c r="I7" s="12"/>
      <c r="J7" s="12"/>
      <c r="K7" s="13"/>
    </row>
    <row r="8">
      <c r="A8" s="8"/>
      <c r="B8" s="9" t="s">
        <v>24</v>
      </c>
      <c r="C8" s="14" t="s">
        <v>27</v>
      </c>
      <c r="D8" s="10"/>
      <c r="E8" s="11"/>
      <c r="F8" s="12"/>
      <c r="G8" s="12"/>
      <c r="H8" s="12"/>
      <c r="I8" s="12"/>
      <c r="J8" s="12"/>
      <c r="K8" s="13"/>
    </row>
    <row r="9">
      <c r="A9" s="8"/>
      <c r="B9" s="9" t="s">
        <v>24</v>
      </c>
      <c r="C9" s="14" t="s">
        <v>28</v>
      </c>
      <c r="D9" s="10"/>
      <c r="E9" s="11"/>
      <c r="F9" s="12"/>
      <c r="G9" s="12"/>
      <c r="H9" s="12"/>
      <c r="I9" s="12"/>
      <c r="J9" s="12"/>
      <c r="K9" s="13"/>
    </row>
    <row r="10">
      <c r="A10" s="8"/>
      <c r="B10" s="9" t="s">
        <v>24</v>
      </c>
      <c r="C10" s="14" t="s">
        <v>29</v>
      </c>
      <c r="D10" s="10"/>
      <c r="E10" s="11"/>
      <c r="F10" s="12"/>
      <c r="G10" s="12"/>
      <c r="H10" s="12"/>
      <c r="I10" s="12"/>
      <c r="J10" s="12"/>
      <c r="K10" s="13"/>
    </row>
    <row r="11">
      <c r="A11" s="8"/>
      <c r="B11" s="9" t="s">
        <v>24</v>
      </c>
      <c r="C11" s="14" t="s">
        <v>30</v>
      </c>
      <c r="D11" s="10"/>
      <c r="E11" s="11"/>
      <c r="F11" s="12"/>
      <c r="G11" s="12"/>
      <c r="H11" s="12"/>
      <c r="I11" s="12"/>
      <c r="J11" s="12"/>
      <c r="K11" s="13"/>
    </row>
    <row r="12">
      <c r="A12" s="8"/>
      <c r="B12" s="9" t="s">
        <v>24</v>
      </c>
      <c r="C12" s="14" t="s">
        <v>31</v>
      </c>
      <c r="D12" s="10"/>
      <c r="E12" s="11"/>
      <c r="F12" s="12"/>
      <c r="G12" s="12"/>
      <c r="H12" s="12"/>
      <c r="I12" s="12"/>
      <c r="J12" s="12"/>
      <c r="K12" s="13"/>
    </row>
    <row r="13">
      <c r="A13" s="8"/>
      <c r="B13" s="9" t="s">
        <v>24</v>
      </c>
      <c r="C13" s="14" t="s">
        <v>32</v>
      </c>
      <c r="D13" s="10"/>
      <c r="E13" s="11"/>
      <c r="F13" s="12"/>
      <c r="G13" s="12"/>
      <c r="H13" s="12"/>
      <c r="I13" s="12"/>
      <c r="J13" s="12"/>
      <c r="K13" s="13"/>
    </row>
    <row r="14">
      <c r="A14" s="8"/>
      <c r="B14" s="9" t="s">
        <v>24</v>
      </c>
      <c r="C14" s="14" t="s">
        <v>33</v>
      </c>
      <c r="D14" s="10"/>
      <c r="E14" s="11"/>
      <c r="F14" s="12"/>
      <c r="G14" s="12"/>
      <c r="H14" s="12"/>
      <c r="I14" s="12"/>
      <c r="J14" s="12"/>
      <c r="K14" s="13"/>
    </row>
    <row r="15">
      <c r="A15" s="8"/>
      <c r="B15" s="9" t="s">
        <v>20</v>
      </c>
      <c r="C15" s="14" t="s">
        <v>34</v>
      </c>
      <c r="D15" s="10"/>
      <c r="E15" s="11"/>
      <c r="F15" s="12"/>
      <c r="G15" s="12"/>
      <c r="H15" s="12"/>
      <c r="I15" s="12"/>
      <c r="J15" s="12"/>
      <c r="K15" s="13"/>
    </row>
    <row r="16">
      <c r="A16" s="8"/>
      <c r="B16" s="9" t="s">
        <v>20</v>
      </c>
      <c r="C16" s="14" t="s">
        <v>35</v>
      </c>
      <c r="D16" s="10"/>
      <c r="E16" s="11"/>
      <c r="F16" s="12"/>
      <c r="G16" s="12"/>
      <c r="H16" s="12"/>
      <c r="I16" s="12"/>
      <c r="J16" s="12"/>
      <c r="K16" s="13"/>
    </row>
    <row r="17">
      <c r="A17" s="8"/>
      <c r="B17" s="9" t="s">
        <v>20</v>
      </c>
      <c r="C17" s="14" t="s">
        <v>36</v>
      </c>
      <c r="D17" s="10"/>
      <c r="E17" s="11"/>
      <c r="F17" s="12"/>
      <c r="G17" s="12"/>
      <c r="H17" s="12"/>
      <c r="I17" s="12"/>
      <c r="J17" s="12"/>
      <c r="K17" s="13"/>
    </row>
    <row r="18">
      <c r="A18" s="8"/>
      <c r="B18" s="9" t="s">
        <v>37</v>
      </c>
      <c r="C18" s="14" t="s">
        <v>38</v>
      </c>
      <c r="D18" s="10"/>
      <c r="E18" s="11"/>
      <c r="F18" s="12"/>
      <c r="G18" s="12"/>
      <c r="H18" s="12"/>
      <c r="I18" s="12"/>
      <c r="J18" s="12"/>
      <c r="K18" s="13"/>
    </row>
    <row r="19">
      <c r="A19" s="8"/>
      <c r="B19" s="9" t="s">
        <v>37</v>
      </c>
      <c r="C19" s="14" t="s">
        <v>39</v>
      </c>
      <c r="D19" s="10"/>
      <c r="E19" s="11"/>
      <c r="F19" s="12"/>
      <c r="G19" s="12"/>
      <c r="H19" s="12"/>
      <c r="I19" s="12"/>
      <c r="J19" s="12"/>
      <c r="K19" s="13"/>
    </row>
    <row r="20">
      <c r="A20" s="8"/>
      <c r="B20" s="9" t="s">
        <v>37</v>
      </c>
      <c r="C20" s="14" t="s">
        <v>40</v>
      </c>
      <c r="D20" s="10"/>
      <c r="E20" s="11"/>
      <c r="F20" s="12"/>
      <c r="G20" s="12"/>
      <c r="H20" s="12"/>
      <c r="I20" s="12"/>
      <c r="J20" s="12"/>
      <c r="K20" s="13"/>
    </row>
    <row r="21">
      <c r="A21" s="8"/>
      <c r="B21" s="9" t="s">
        <v>37</v>
      </c>
      <c r="C21" s="14" t="s">
        <v>41</v>
      </c>
      <c r="D21" s="10"/>
      <c r="E21" s="11"/>
      <c r="F21" s="12"/>
      <c r="G21" s="12"/>
      <c r="H21" s="12"/>
      <c r="I21" s="12"/>
      <c r="J21" s="12"/>
      <c r="K21" s="13"/>
    </row>
    <row r="22">
      <c r="A22" s="8"/>
      <c r="B22" s="15" t="s">
        <v>42</v>
      </c>
      <c r="C22" s="16" t="s">
        <v>43</v>
      </c>
      <c r="D22" s="10"/>
      <c r="E22" s="11"/>
      <c r="F22" s="12"/>
      <c r="G22" s="12"/>
      <c r="H22" s="12"/>
      <c r="I22" s="12"/>
      <c r="J22" s="12"/>
      <c r="K22" s="13"/>
    </row>
    <row r="23">
      <c r="A23" s="8"/>
      <c r="B23" s="15" t="s">
        <v>42</v>
      </c>
      <c r="C23" s="14" t="s">
        <v>44</v>
      </c>
      <c r="D23" s="10"/>
      <c r="E23" s="11"/>
      <c r="F23" s="12"/>
      <c r="G23" s="12"/>
      <c r="H23" s="12"/>
      <c r="I23" s="12"/>
      <c r="J23" s="12"/>
      <c r="K23" s="13"/>
    </row>
    <row r="24">
      <c r="A24" s="8"/>
      <c r="B24" s="15" t="s">
        <v>42</v>
      </c>
      <c r="C24" s="14" t="s">
        <v>45</v>
      </c>
      <c r="D24" s="10"/>
      <c r="E24" s="11"/>
      <c r="F24" s="12"/>
      <c r="G24" s="12"/>
      <c r="H24" s="12"/>
      <c r="I24" s="12"/>
      <c r="J24" s="12"/>
      <c r="K24" s="13"/>
    </row>
    <row r="25">
      <c r="A25" s="8"/>
      <c r="B25" s="15" t="s">
        <v>42</v>
      </c>
      <c r="C25" s="14" t="s">
        <v>46</v>
      </c>
      <c r="D25" s="10"/>
      <c r="E25" s="11"/>
      <c r="F25" s="12"/>
      <c r="G25" s="12"/>
      <c r="H25" s="12"/>
      <c r="I25" s="12"/>
      <c r="J25" s="12"/>
      <c r="K25" s="13"/>
    </row>
    <row r="26">
      <c r="A26" s="8"/>
      <c r="B26" s="15" t="s">
        <v>42</v>
      </c>
      <c r="C26" s="14" t="s">
        <v>47</v>
      </c>
      <c r="D26" s="10"/>
      <c r="E26" s="11"/>
      <c r="F26" s="12"/>
      <c r="G26" s="12"/>
      <c r="H26" s="12"/>
      <c r="I26" s="12"/>
      <c r="J26" s="12"/>
      <c r="K26" s="13"/>
    </row>
    <row r="27">
      <c r="A27" s="8"/>
      <c r="B27" s="15" t="s">
        <v>42</v>
      </c>
      <c r="C27" s="14" t="s">
        <v>48</v>
      </c>
      <c r="D27" s="10"/>
      <c r="E27" s="11"/>
      <c r="F27" s="12"/>
      <c r="G27" s="12"/>
      <c r="H27" s="12"/>
      <c r="I27" s="12"/>
      <c r="J27" s="12"/>
      <c r="K27" s="13"/>
    </row>
    <row r="28">
      <c r="A28" s="8"/>
      <c r="B28" s="15" t="s">
        <v>49</v>
      </c>
      <c r="C28" s="14" t="s">
        <v>50</v>
      </c>
      <c r="D28" s="10"/>
      <c r="E28" s="11"/>
      <c r="F28" s="12"/>
      <c r="G28" s="12"/>
      <c r="H28" s="12"/>
      <c r="I28" s="12"/>
      <c r="J28" s="12"/>
      <c r="K28" s="13"/>
    </row>
    <row r="29">
      <c r="A29" s="8"/>
      <c r="B29" s="15" t="s">
        <v>49</v>
      </c>
      <c r="C29" s="14" t="s">
        <v>51</v>
      </c>
      <c r="D29" s="10"/>
      <c r="E29" s="11"/>
      <c r="F29" s="12"/>
      <c r="G29" s="12"/>
      <c r="H29" s="12"/>
      <c r="I29" s="12"/>
      <c r="J29" s="12"/>
      <c r="K29" s="13"/>
    </row>
    <row r="30">
      <c r="A30" s="8"/>
      <c r="B30" s="15" t="s">
        <v>49</v>
      </c>
      <c r="C30" s="14" t="s">
        <v>52</v>
      </c>
      <c r="D30" s="10"/>
      <c r="E30" s="11"/>
      <c r="F30" s="12"/>
      <c r="G30" s="12"/>
      <c r="H30" s="12"/>
      <c r="I30" s="12"/>
      <c r="J30" s="12"/>
      <c r="K30" s="13"/>
    </row>
    <row r="31">
      <c r="A31" s="17" t="s">
        <v>53</v>
      </c>
      <c r="B31" s="15"/>
      <c r="C31" s="14" t="s">
        <v>54</v>
      </c>
      <c r="D31" s="10"/>
      <c r="E31" s="11"/>
      <c r="F31" s="12"/>
      <c r="G31" s="12"/>
      <c r="H31" s="12"/>
      <c r="I31" s="12"/>
      <c r="J31" s="12"/>
      <c r="K31" s="13"/>
    </row>
    <row r="32">
      <c r="A32" s="17" t="s">
        <v>53</v>
      </c>
      <c r="B32" s="15"/>
      <c r="C32" s="18" t="s">
        <v>55</v>
      </c>
      <c r="D32" s="10"/>
      <c r="E32" s="11"/>
      <c r="F32" s="12"/>
      <c r="G32" s="12"/>
      <c r="H32" s="12"/>
      <c r="I32" s="12"/>
      <c r="J32" s="12"/>
      <c r="K32" s="13"/>
    </row>
    <row r="33">
      <c r="A33" s="17" t="s">
        <v>53</v>
      </c>
      <c r="B33" s="15"/>
      <c r="C33" s="18" t="s">
        <v>56</v>
      </c>
      <c r="D33" s="10"/>
      <c r="E33" s="11"/>
      <c r="F33" s="12"/>
      <c r="G33" s="12"/>
      <c r="H33" s="12"/>
      <c r="I33" s="12"/>
      <c r="J33" s="12"/>
      <c r="K33" s="13"/>
    </row>
    <row r="34">
      <c r="A34" s="8"/>
      <c r="B34" s="15"/>
      <c r="C34" s="19"/>
      <c r="D34" s="10"/>
      <c r="E34" s="11"/>
      <c r="F34" s="12"/>
      <c r="G34" s="12"/>
      <c r="H34" s="12"/>
      <c r="I34" s="12"/>
      <c r="J34" s="12"/>
      <c r="K34" s="13"/>
    </row>
    <row r="35">
      <c r="A35" s="8"/>
      <c r="B35" s="15"/>
      <c r="C35" s="19"/>
      <c r="D35" s="10"/>
      <c r="E35" s="11"/>
      <c r="F35" s="12"/>
      <c r="G35" s="12"/>
      <c r="H35" s="12"/>
      <c r="I35" s="12"/>
      <c r="J35" s="12"/>
      <c r="K35" s="13"/>
    </row>
    <row r="36">
      <c r="A36" s="8"/>
      <c r="B36" s="15"/>
      <c r="C36" s="19"/>
      <c r="D36" s="10"/>
      <c r="E36" s="11"/>
      <c r="F36" s="12"/>
      <c r="G36" s="12"/>
      <c r="H36" s="12"/>
      <c r="I36" s="12"/>
      <c r="J36" s="12"/>
      <c r="K36" s="13"/>
    </row>
    <row r="37">
      <c r="A37" s="8"/>
      <c r="B37" s="15"/>
      <c r="C37" s="11"/>
      <c r="D37" s="10"/>
      <c r="E37" s="11"/>
      <c r="F37" s="12"/>
      <c r="G37" s="12"/>
      <c r="H37" s="12"/>
      <c r="I37" s="12"/>
      <c r="J37" s="12"/>
      <c r="K37" s="13"/>
    </row>
    <row r="38">
      <c r="A38" s="8"/>
      <c r="B38" s="15"/>
      <c r="C38" s="11"/>
      <c r="D38" s="10"/>
      <c r="E38" s="11"/>
      <c r="F38" s="12"/>
      <c r="G38" s="12"/>
      <c r="H38" s="12"/>
      <c r="I38" s="12"/>
      <c r="J38" s="12"/>
      <c r="K38" s="13"/>
    </row>
    <row r="39">
      <c r="A39" s="8"/>
      <c r="B39" s="15"/>
      <c r="C39" s="19"/>
      <c r="D39" s="10"/>
      <c r="E39" s="11"/>
      <c r="F39" s="12"/>
      <c r="G39" s="12"/>
      <c r="H39" s="12"/>
      <c r="I39" s="12"/>
      <c r="J39" s="12"/>
      <c r="K39" s="13"/>
    </row>
    <row r="40">
      <c r="A40" s="8"/>
      <c r="B40" s="15"/>
      <c r="C40" s="11"/>
      <c r="D40" s="10"/>
      <c r="E40" s="11"/>
      <c r="F40" s="12"/>
      <c r="G40" s="12"/>
      <c r="H40" s="12"/>
      <c r="I40" s="12"/>
      <c r="J40" s="12"/>
      <c r="K40" s="13"/>
    </row>
    <row r="41">
      <c r="A41" s="8"/>
      <c r="B41" s="15"/>
      <c r="C41" s="11"/>
      <c r="D41" s="10"/>
      <c r="E41" s="11"/>
      <c r="F41" s="12"/>
      <c r="G41" s="12"/>
      <c r="H41" s="12"/>
      <c r="I41" s="12"/>
      <c r="J41" s="12"/>
      <c r="K41" s="13"/>
    </row>
    <row r="42">
      <c r="A42" s="8"/>
      <c r="B42" s="15"/>
      <c r="C42" s="11"/>
      <c r="D42" s="10"/>
      <c r="E42" s="11"/>
      <c r="F42" s="12"/>
      <c r="G42" s="12"/>
      <c r="H42" s="12"/>
      <c r="I42" s="12"/>
      <c r="J42" s="12"/>
      <c r="K42" s="13"/>
    </row>
    <row r="43">
      <c r="A43" s="8"/>
      <c r="B43" s="15"/>
      <c r="C43" s="11"/>
      <c r="D43" s="10"/>
      <c r="E43" s="11"/>
      <c r="F43" s="12"/>
      <c r="G43" s="12"/>
      <c r="H43" s="12"/>
      <c r="I43" s="12"/>
      <c r="J43" s="12"/>
      <c r="K43" s="13"/>
    </row>
    <row r="44">
      <c r="A44" s="8"/>
      <c r="B44" s="15"/>
      <c r="C44" s="11"/>
      <c r="D44" s="10"/>
      <c r="E44" s="11"/>
      <c r="F44" s="12"/>
      <c r="G44" s="12"/>
      <c r="H44" s="12"/>
      <c r="I44" s="12"/>
      <c r="J44" s="12"/>
      <c r="K44" s="13"/>
    </row>
    <row r="45">
      <c r="A45" s="8"/>
      <c r="B45" s="15"/>
      <c r="C45" s="11"/>
      <c r="D45" s="10"/>
      <c r="E45" s="11"/>
      <c r="F45" s="12"/>
      <c r="G45" s="12"/>
      <c r="H45" s="12"/>
      <c r="I45" s="12"/>
      <c r="J45" s="12"/>
      <c r="K45" s="13"/>
    </row>
    <row r="46">
      <c r="A46" s="8"/>
      <c r="B46" s="15"/>
      <c r="C46" s="11"/>
      <c r="D46" s="10"/>
      <c r="E46" s="11"/>
      <c r="F46" s="12"/>
      <c r="G46" s="12"/>
      <c r="H46" s="12"/>
      <c r="I46" s="12"/>
      <c r="J46" s="12"/>
      <c r="K46" s="13"/>
    </row>
    <row r="47">
      <c r="A47" s="8"/>
      <c r="B47" s="15"/>
      <c r="C47" s="11"/>
      <c r="D47" s="10"/>
      <c r="E47" s="11"/>
      <c r="F47" s="12"/>
      <c r="G47" s="12"/>
      <c r="H47" s="12"/>
      <c r="I47" s="12"/>
      <c r="J47" s="12"/>
      <c r="K47" s="13"/>
    </row>
    <row r="48">
      <c r="A48" s="8"/>
      <c r="B48" s="15"/>
      <c r="C48" s="18"/>
      <c r="D48" s="10"/>
      <c r="E48" s="11"/>
      <c r="F48" s="12"/>
      <c r="G48" s="12"/>
      <c r="H48" s="12"/>
      <c r="I48" s="12"/>
      <c r="J48" s="12"/>
      <c r="K48" s="13"/>
    </row>
    <row r="49">
      <c r="A49" s="8"/>
      <c r="B49" s="15"/>
      <c r="C49" s="18"/>
      <c r="D49" s="10"/>
      <c r="E49" s="11"/>
      <c r="F49" s="12"/>
      <c r="G49" s="12"/>
      <c r="H49" s="12"/>
      <c r="I49" s="12"/>
      <c r="J49" s="12"/>
      <c r="K49" s="13"/>
    </row>
    <row r="50">
      <c r="A50" s="8"/>
      <c r="B50" s="15"/>
      <c r="C50" s="11"/>
      <c r="D50" s="10"/>
      <c r="E50" s="11"/>
      <c r="F50" s="12"/>
      <c r="G50" s="12"/>
      <c r="H50" s="12"/>
      <c r="I50" s="12"/>
      <c r="J50" s="12"/>
      <c r="K50" s="13"/>
    </row>
    <row r="51">
      <c r="A51" s="20"/>
      <c r="B51" s="21"/>
      <c r="C51" s="18"/>
      <c r="D51" s="10"/>
      <c r="E51" s="11"/>
      <c r="F51" s="12"/>
      <c r="G51" s="12"/>
      <c r="H51" s="12"/>
      <c r="I51" s="12"/>
      <c r="J51" s="12"/>
      <c r="K51" s="13"/>
    </row>
    <row r="52">
      <c r="A52" s="20"/>
      <c r="B52" s="21"/>
      <c r="C52" s="18"/>
      <c r="D52" s="10"/>
      <c r="E52" s="11"/>
      <c r="F52" s="12"/>
      <c r="G52" s="12"/>
      <c r="H52" s="12"/>
      <c r="I52" s="12"/>
      <c r="J52" s="12"/>
      <c r="K52" s="13"/>
    </row>
    <row r="53">
      <c r="A53" s="20"/>
      <c r="B53" s="21"/>
      <c r="C53" s="22"/>
      <c r="D53" s="10"/>
      <c r="E53" s="11"/>
      <c r="F53" s="12"/>
      <c r="G53" s="12"/>
      <c r="H53" s="12"/>
      <c r="I53" s="12"/>
      <c r="J53" s="12"/>
      <c r="K53" s="13"/>
    </row>
    <row r="54">
      <c r="A54" s="20"/>
      <c r="B54" s="21"/>
      <c r="C54" s="22"/>
      <c r="D54" s="10"/>
      <c r="E54" s="11"/>
      <c r="F54" s="12"/>
      <c r="G54" s="12"/>
      <c r="H54" s="12"/>
      <c r="I54" s="12"/>
      <c r="J54" s="12"/>
      <c r="K54" s="13"/>
    </row>
    <row r="55">
      <c r="A55" s="20"/>
      <c r="B55" s="21"/>
      <c r="C55" s="22"/>
      <c r="D55" s="10"/>
      <c r="E55" s="11"/>
      <c r="F55" s="12"/>
      <c r="G55" s="12"/>
      <c r="H55" s="12"/>
      <c r="I55" s="12"/>
      <c r="J55" s="12"/>
      <c r="K55" s="13"/>
    </row>
    <row r="56">
      <c r="A56" s="20"/>
      <c r="B56" s="21"/>
      <c r="C56" s="22"/>
      <c r="D56" s="10"/>
      <c r="E56" s="11"/>
      <c r="F56" s="12"/>
      <c r="G56" s="12"/>
      <c r="H56" s="12"/>
      <c r="I56" s="12"/>
      <c r="J56" s="12"/>
      <c r="K56" s="13"/>
    </row>
    <row r="57">
      <c r="A57" s="20"/>
      <c r="B57" s="21"/>
      <c r="C57" s="22"/>
      <c r="D57" s="10"/>
      <c r="E57" s="11"/>
      <c r="F57" s="12"/>
      <c r="G57" s="12"/>
      <c r="H57" s="12"/>
      <c r="I57" s="12"/>
      <c r="J57" s="12"/>
      <c r="K57" s="13"/>
    </row>
    <row r="58">
      <c r="A58" s="20"/>
      <c r="B58" s="21"/>
      <c r="C58" s="22"/>
      <c r="D58" s="10"/>
      <c r="E58" s="11"/>
      <c r="F58" s="12"/>
      <c r="G58" s="12"/>
      <c r="H58" s="12"/>
      <c r="I58" s="12"/>
      <c r="J58" s="12"/>
      <c r="K58" s="13"/>
    </row>
    <row r="59">
      <c r="A59" s="23"/>
      <c r="B59" s="24"/>
      <c r="C59" s="25"/>
      <c r="D59" s="10"/>
      <c r="E59" s="11"/>
      <c r="F59" s="12"/>
      <c r="G59" s="12"/>
      <c r="H59" s="12"/>
      <c r="I59" s="12"/>
      <c r="J59" s="12"/>
      <c r="K59" s="13"/>
    </row>
    <row r="60">
      <c r="A60" s="23"/>
      <c r="B60" s="24"/>
      <c r="C60" s="26"/>
      <c r="D60" s="10"/>
      <c r="E60" s="11"/>
      <c r="F60" s="12"/>
      <c r="G60" s="12"/>
      <c r="H60" s="12"/>
      <c r="I60" s="12"/>
      <c r="J60" s="12"/>
      <c r="K60" s="13"/>
    </row>
    <row r="61">
      <c r="A61" s="23"/>
      <c r="B61" s="24"/>
      <c r="C61" s="25"/>
      <c r="D61" s="10"/>
      <c r="E61" s="11"/>
      <c r="F61" s="12"/>
      <c r="G61" s="12"/>
      <c r="H61" s="12"/>
      <c r="I61" s="12"/>
      <c r="J61" s="12"/>
      <c r="K61" s="13"/>
    </row>
    <row r="62">
      <c r="A62" s="27"/>
      <c r="B62" s="28"/>
      <c r="C62" s="29"/>
      <c r="D62" s="10"/>
      <c r="E62" s="11"/>
      <c r="F62" s="12"/>
      <c r="G62" s="12"/>
      <c r="H62" s="12"/>
      <c r="I62" s="12"/>
      <c r="J62" s="12"/>
      <c r="K62" s="13"/>
    </row>
    <row r="63">
      <c r="A63" s="27"/>
      <c r="B63" s="28"/>
      <c r="C63" s="29"/>
      <c r="D63" s="10"/>
      <c r="E63" s="11"/>
      <c r="F63" s="12"/>
      <c r="G63" s="12"/>
      <c r="H63" s="12"/>
      <c r="I63" s="12"/>
      <c r="J63" s="12"/>
      <c r="K63" s="13"/>
    </row>
    <row r="64">
      <c r="A64" s="27"/>
      <c r="B64" s="28"/>
      <c r="C64" s="29"/>
      <c r="D64" s="10"/>
      <c r="E64" s="11"/>
      <c r="F64" s="12"/>
      <c r="G64" s="12"/>
      <c r="H64" s="12"/>
      <c r="I64" s="12"/>
      <c r="J64" s="12"/>
      <c r="K64" s="13"/>
    </row>
    <row r="65">
      <c r="A65" s="27"/>
      <c r="B65" s="28"/>
      <c r="C65" s="29"/>
      <c r="D65" s="10"/>
      <c r="E65" s="11"/>
      <c r="F65" s="12"/>
      <c r="G65" s="12"/>
      <c r="H65" s="12"/>
      <c r="I65" s="12"/>
      <c r="J65" s="12"/>
      <c r="K65" s="13"/>
    </row>
    <row r="66">
      <c r="A66" s="27"/>
      <c r="B66" s="28"/>
      <c r="C66" s="29"/>
      <c r="D66" s="10"/>
      <c r="E66" s="11"/>
      <c r="F66" s="12"/>
      <c r="G66" s="12"/>
      <c r="H66" s="12"/>
      <c r="I66" s="12"/>
      <c r="J66" s="12"/>
      <c r="K66" s="13"/>
    </row>
    <row r="67">
      <c r="A67" s="27"/>
      <c r="B67" s="28"/>
      <c r="C67" s="29"/>
      <c r="D67" s="10"/>
      <c r="E67" s="11"/>
      <c r="F67" s="12"/>
      <c r="G67" s="12"/>
      <c r="H67" s="12"/>
      <c r="I67" s="12"/>
      <c r="J67" s="12"/>
      <c r="K67" s="13"/>
    </row>
    <row r="68">
      <c r="A68" s="27"/>
      <c r="B68" s="28"/>
      <c r="C68" s="29"/>
      <c r="D68" s="10"/>
      <c r="E68" s="11"/>
      <c r="F68" s="12"/>
      <c r="G68" s="12"/>
      <c r="H68" s="12"/>
      <c r="I68" s="12"/>
      <c r="J68" s="12"/>
      <c r="K68" s="13"/>
    </row>
    <row r="69">
      <c r="A69" s="27"/>
      <c r="B69" s="28"/>
      <c r="C69" s="29"/>
      <c r="D69" s="10"/>
      <c r="E69" s="11"/>
      <c r="F69" s="12"/>
      <c r="G69" s="12"/>
      <c r="H69" s="12"/>
      <c r="I69" s="12"/>
      <c r="J69" s="12"/>
      <c r="K69" s="13"/>
    </row>
    <row r="70">
      <c r="A70" s="27"/>
      <c r="B70" s="28"/>
      <c r="C70" s="29"/>
      <c r="D70" s="10"/>
      <c r="E70" s="11"/>
      <c r="F70" s="12"/>
      <c r="G70" s="12"/>
      <c r="H70" s="12"/>
      <c r="I70" s="12"/>
      <c r="J70" s="12"/>
      <c r="K70" s="13"/>
    </row>
    <row r="71">
      <c r="A71" s="30"/>
      <c r="B71" s="12"/>
      <c r="C71" s="31"/>
      <c r="D71" s="12"/>
      <c r="E71" s="31"/>
      <c r="F71" s="12"/>
      <c r="G71" s="12"/>
      <c r="H71" s="12"/>
      <c r="I71" s="12"/>
      <c r="J71" s="12"/>
      <c r="K71" s="13"/>
    </row>
    <row r="72">
      <c r="A72" s="30"/>
      <c r="B72" s="12"/>
      <c r="C72" s="31"/>
      <c r="D72" s="12"/>
      <c r="E72" s="31"/>
      <c r="F72" s="12"/>
      <c r="G72" s="12"/>
      <c r="H72" s="12"/>
      <c r="I72" s="12"/>
      <c r="J72" s="12"/>
      <c r="K72" s="13"/>
    </row>
    <row r="73">
      <c r="A73" s="30"/>
      <c r="B73" s="12"/>
      <c r="C73" s="31"/>
      <c r="D73" s="12"/>
      <c r="E73" s="31"/>
      <c r="F73" s="12"/>
      <c r="G73" s="12"/>
      <c r="H73" s="12"/>
      <c r="I73" s="12"/>
      <c r="J73" s="12"/>
      <c r="K73" s="13"/>
    </row>
    <row r="74">
      <c r="A74" s="17" t="s">
        <v>57</v>
      </c>
      <c r="B74" s="12"/>
      <c r="C74" s="31"/>
      <c r="D74" s="12"/>
      <c r="E74" s="31"/>
      <c r="F74" s="12"/>
      <c r="G74" s="12"/>
      <c r="H74" s="12"/>
      <c r="I74" s="12"/>
      <c r="J74" s="12"/>
      <c r="K74" s="13"/>
    </row>
    <row r="75">
      <c r="A75" s="17" t="s">
        <v>53</v>
      </c>
      <c r="B75" s="12"/>
      <c r="C75" s="31"/>
      <c r="D75" s="12"/>
      <c r="E75" s="31"/>
      <c r="F75" s="12"/>
      <c r="G75" s="12"/>
      <c r="H75" s="12"/>
      <c r="I75" s="12"/>
      <c r="J75" s="12"/>
      <c r="K75" s="13"/>
    </row>
    <row r="76">
      <c r="A76" s="17" t="s">
        <v>58</v>
      </c>
      <c r="B76" s="12"/>
      <c r="C76" s="31"/>
      <c r="D76" s="12"/>
      <c r="E76" s="31"/>
      <c r="F76" s="12"/>
      <c r="G76" s="12"/>
      <c r="H76" s="12"/>
      <c r="I76" s="12"/>
      <c r="J76" s="12"/>
      <c r="K76" s="13"/>
    </row>
    <row r="77">
      <c r="A77" s="32" t="s">
        <v>59</v>
      </c>
      <c r="B77" s="33"/>
      <c r="C77" s="34"/>
      <c r="D77" s="33"/>
      <c r="E77" s="34"/>
      <c r="F77" s="33"/>
      <c r="G77" s="33"/>
      <c r="H77" s="33"/>
      <c r="I77" s="33"/>
      <c r="J77" s="33"/>
      <c r="K77" s="35"/>
    </row>
    <row r="78">
      <c r="C78" s="3"/>
      <c r="E78" s="3"/>
    </row>
    <row r="79">
      <c r="C79" s="3"/>
      <c r="E79" s="3"/>
    </row>
    <row r="80">
      <c r="C80" s="3"/>
      <c r="E80" s="3"/>
    </row>
    <row r="81">
      <c r="C81" s="3"/>
      <c r="E81" s="3"/>
    </row>
    <row r="82">
      <c r="C82" s="3"/>
      <c r="E82" s="36" t="s">
        <v>60</v>
      </c>
    </row>
    <row r="83">
      <c r="C83" s="3"/>
      <c r="E83" s="11" t="s">
        <v>61</v>
      </c>
    </row>
    <row r="84">
      <c r="C84" s="3"/>
      <c r="E84" s="11" t="s">
        <v>62</v>
      </c>
    </row>
    <row r="85">
      <c r="C85" s="3"/>
      <c r="E85" s="11" t="s">
        <v>63</v>
      </c>
    </row>
    <row r="86">
      <c r="C86" s="3"/>
      <c r="E86" s="3"/>
    </row>
    <row r="87">
      <c r="C87" s="3"/>
      <c r="E87" s="3"/>
    </row>
    <row r="88">
      <c r="C88" s="3"/>
      <c r="E88" s="3"/>
    </row>
    <row r="89">
      <c r="C89" s="3"/>
      <c r="E89" s="3"/>
    </row>
    <row r="90">
      <c r="C90" s="3"/>
      <c r="E90" s="3"/>
    </row>
    <row r="91">
      <c r="C91" s="3"/>
      <c r="E91" s="3"/>
    </row>
    <row r="92">
      <c r="C92" s="3"/>
      <c r="E92" s="3"/>
    </row>
    <row r="93">
      <c r="C93" s="3"/>
      <c r="E93" s="3"/>
    </row>
    <row r="94">
      <c r="C94" s="3"/>
      <c r="E94" s="3"/>
    </row>
    <row r="95">
      <c r="C95" s="3"/>
      <c r="E95" s="3"/>
    </row>
    <row r="96">
      <c r="C96" s="3"/>
      <c r="E96" s="3"/>
    </row>
    <row r="97">
      <c r="C97" s="3"/>
      <c r="E97" s="3"/>
    </row>
    <row r="98">
      <c r="C98" s="3"/>
      <c r="E98" s="3"/>
    </row>
    <row r="99">
      <c r="C99" s="3"/>
      <c r="E99" s="3"/>
    </row>
    <row r="100">
      <c r="C100" s="3"/>
      <c r="E100" s="3"/>
    </row>
    <row r="101">
      <c r="C101" s="3"/>
      <c r="E101" s="3"/>
    </row>
    <row r="102">
      <c r="C102" s="3"/>
      <c r="E102" s="3"/>
    </row>
    <row r="103">
      <c r="C103" s="3"/>
      <c r="E103" s="3"/>
    </row>
    <row r="104">
      <c r="C104" s="3"/>
      <c r="E104" s="3"/>
    </row>
    <row r="105">
      <c r="C105" s="3"/>
      <c r="E105" s="3"/>
    </row>
    <row r="106">
      <c r="C106" s="3"/>
      <c r="E106" s="3"/>
    </row>
    <row r="107">
      <c r="C107" s="3"/>
      <c r="E107" s="3"/>
    </row>
    <row r="108">
      <c r="C108" s="3"/>
      <c r="E108" s="3"/>
    </row>
    <row r="109">
      <c r="C109" s="3"/>
      <c r="E109" s="3"/>
    </row>
    <row r="110">
      <c r="C110" s="3"/>
      <c r="E110" s="3"/>
    </row>
    <row r="111">
      <c r="C111" s="3"/>
      <c r="E111" s="3"/>
    </row>
    <row r="112">
      <c r="C112" s="3"/>
      <c r="E112" s="3"/>
    </row>
    <row r="113">
      <c r="C113" s="3"/>
      <c r="E113" s="3"/>
    </row>
    <row r="114">
      <c r="C114" s="3"/>
      <c r="E114" s="3"/>
    </row>
    <row r="115">
      <c r="C115" s="3"/>
      <c r="E115" s="3"/>
    </row>
    <row r="116">
      <c r="C116" s="3"/>
      <c r="E116" s="3"/>
    </row>
    <row r="117">
      <c r="C117" s="3"/>
      <c r="E117" s="3"/>
    </row>
    <row r="118">
      <c r="C118" s="3"/>
      <c r="E118" s="3"/>
    </row>
    <row r="119">
      <c r="C119" s="3"/>
      <c r="E119" s="3"/>
    </row>
    <row r="120">
      <c r="C120" s="3"/>
      <c r="E120" s="3"/>
    </row>
    <row r="121">
      <c r="C121" s="3"/>
      <c r="E121" s="3"/>
    </row>
    <row r="122">
      <c r="C122" s="3"/>
      <c r="E122" s="3"/>
    </row>
    <row r="123">
      <c r="C123" s="3"/>
      <c r="E123" s="3"/>
    </row>
    <row r="124">
      <c r="C124" s="3"/>
      <c r="E124" s="3"/>
    </row>
    <row r="125">
      <c r="C125" s="3"/>
      <c r="E125" s="3"/>
    </row>
    <row r="126">
      <c r="C126" s="3"/>
      <c r="E126" s="3"/>
    </row>
    <row r="127">
      <c r="C127" s="3"/>
      <c r="E127" s="3"/>
    </row>
    <row r="128">
      <c r="C128" s="3"/>
      <c r="E128" s="3"/>
    </row>
    <row r="129">
      <c r="C129" s="3"/>
      <c r="E129" s="3"/>
    </row>
    <row r="130">
      <c r="C130" s="3"/>
      <c r="E130" s="3"/>
    </row>
    <row r="131">
      <c r="C131" s="3"/>
      <c r="E131" s="3"/>
    </row>
    <row r="132">
      <c r="C132" s="3"/>
      <c r="E132" s="3"/>
    </row>
    <row r="133">
      <c r="C133" s="3"/>
      <c r="E133" s="3"/>
    </row>
    <row r="134">
      <c r="C134" s="3"/>
      <c r="E134" s="3"/>
    </row>
    <row r="135">
      <c r="C135" s="3"/>
      <c r="E135" s="3"/>
    </row>
    <row r="136">
      <c r="C136" s="3"/>
      <c r="E136" s="3"/>
    </row>
    <row r="137">
      <c r="C137" s="3"/>
      <c r="E137" s="3"/>
    </row>
    <row r="138">
      <c r="C138" s="3"/>
      <c r="E138" s="3"/>
    </row>
    <row r="139">
      <c r="C139" s="3"/>
      <c r="E139" s="3"/>
    </row>
    <row r="140">
      <c r="C140" s="3"/>
      <c r="E140" s="3"/>
    </row>
    <row r="141">
      <c r="C141" s="3"/>
      <c r="E141" s="3"/>
    </row>
    <row r="142">
      <c r="C142" s="3"/>
      <c r="E142" s="3"/>
    </row>
    <row r="143">
      <c r="C143" s="3"/>
      <c r="E143" s="3"/>
    </row>
    <row r="144">
      <c r="C144" s="3"/>
      <c r="E144" s="3"/>
    </row>
    <row r="145">
      <c r="C145" s="3"/>
      <c r="E145" s="3"/>
    </row>
    <row r="146">
      <c r="C146" s="3"/>
      <c r="E146" s="3"/>
    </row>
    <row r="147">
      <c r="C147" s="3"/>
      <c r="E147" s="3"/>
    </row>
    <row r="148">
      <c r="C148" s="3"/>
      <c r="E148" s="3"/>
    </row>
    <row r="149">
      <c r="C149" s="3"/>
      <c r="E149" s="3"/>
    </row>
    <row r="150">
      <c r="C150" s="3"/>
      <c r="E150" s="3"/>
    </row>
    <row r="151">
      <c r="C151" s="3"/>
      <c r="E151" s="3"/>
    </row>
    <row r="152">
      <c r="C152" s="3"/>
      <c r="E152" s="3"/>
    </row>
    <row r="153">
      <c r="C153" s="3"/>
      <c r="E153" s="3"/>
    </row>
    <row r="154">
      <c r="C154" s="3"/>
      <c r="E154" s="3"/>
    </row>
    <row r="155">
      <c r="C155" s="3"/>
      <c r="E155" s="3"/>
    </row>
    <row r="156">
      <c r="C156" s="3"/>
      <c r="E156" s="3"/>
    </row>
    <row r="157">
      <c r="C157" s="3"/>
      <c r="E157" s="3"/>
    </row>
    <row r="158">
      <c r="C158" s="3"/>
      <c r="E158" s="3"/>
    </row>
    <row r="159">
      <c r="C159" s="3"/>
      <c r="E159" s="3"/>
    </row>
    <row r="160">
      <c r="C160" s="3"/>
      <c r="E160" s="3"/>
    </row>
    <row r="161">
      <c r="C161" s="3"/>
      <c r="E161" s="3"/>
    </row>
    <row r="162">
      <c r="C162" s="3"/>
      <c r="E162" s="3"/>
    </row>
    <row r="163">
      <c r="C163" s="3"/>
      <c r="E163" s="3"/>
    </row>
    <row r="164">
      <c r="C164" s="3"/>
      <c r="E164" s="3"/>
    </row>
    <row r="165">
      <c r="C165" s="3"/>
      <c r="E165" s="3"/>
    </row>
    <row r="166">
      <c r="C166" s="3"/>
      <c r="E166" s="3"/>
    </row>
    <row r="167">
      <c r="C167" s="3"/>
      <c r="E167" s="3"/>
    </row>
    <row r="168">
      <c r="C168" s="3"/>
      <c r="E168" s="3"/>
    </row>
    <row r="169">
      <c r="C169" s="3"/>
      <c r="E169" s="3"/>
    </row>
    <row r="170">
      <c r="C170" s="3"/>
      <c r="E170" s="3"/>
    </row>
    <row r="171">
      <c r="C171" s="3"/>
      <c r="E171" s="3"/>
    </row>
    <row r="172">
      <c r="C172" s="3"/>
      <c r="E172" s="3"/>
    </row>
    <row r="173">
      <c r="C173" s="3"/>
      <c r="E173" s="3"/>
    </row>
    <row r="174">
      <c r="C174" s="3"/>
      <c r="E174" s="3"/>
    </row>
    <row r="175">
      <c r="C175" s="3"/>
      <c r="E175" s="3"/>
    </row>
    <row r="176">
      <c r="C176" s="3"/>
      <c r="E176" s="3"/>
    </row>
    <row r="177">
      <c r="C177" s="3"/>
      <c r="E177" s="3"/>
    </row>
    <row r="178">
      <c r="C178" s="3"/>
      <c r="E178" s="3"/>
    </row>
    <row r="179">
      <c r="C179" s="3"/>
      <c r="E179" s="3"/>
    </row>
    <row r="180">
      <c r="C180" s="3"/>
      <c r="E180" s="3"/>
    </row>
    <row r="181">
      <c r="C181" s="3"/>
      <c r="E181" s="3"/>
    </row>
    <row r="182">
      <c r="C182" s="3"/>
      <c r="E182" s="3"/>
    </row>
    <row r="183">
      <c r="C183" s="3"/>
      <c r="E183" s="3"/>
    </row>
    <row r="184">
      <c r="C184" s="3"/>
      <c r="E184" s="3"/>
    </row>
    <row r="185">
      <c r="C185" s="3"/>
      <c r="E185" s="3"/>
    </row>
    <row r="186">
      <c r="C186" s="3"/>
      <c r="E186" s="3"/>
    </row>
    <row r="187">
      <c r="C187" s="3"/>
      <c r="E187" s="3"/>
    </row>
    <row r="188">
      <c r="C188" s="3"/>
      <c r="E188" s="3"/>
    </row>
    <row r="189">
      <c r="C189" s="3"/>
      <c r="E189" s="3"/>
    </row>
    <row r="190">
      <c r="C190" s="3"/>
      <c r="E190" s="3"/>
    </row>
    <row r="191">
      <c r="C191" s="3"/>
      <c r="E191" s="3"/>
    </row>
    <row r="192">
      <c r="C192" s="3"/>
      <c r="E192" s="3"/>
    </row>
    <row r="193">
      <c r="C193" s="3"/>
      <c r="E193" s="3"/>
    </row>
    <row r="194">
      <c r="C194" s="3"/>
      <c r="E194" s="3"/>
    </row>
    <row r="195">
      <c r="C195" s="3"/>
      <c r="E195" s="3"/>
    </row>
    <row r="196">
      <c r="C196" s="3"/>
      <c r="E196" s="3"/>
    </row>
    <row r="197">
      <c r="C197" s="3"/>
      <c r="E197" s="3"/>
    </row>
    <row r="198">
      <c r="C198" s="3"/>
      <c r="E198" s="3"/>
    </row>
    <row r="199">
      <c r="C199" s="3"/>
      <c r="E199" s="3"/>
    </row>
    <row r="200">
      <c r="C200" s="3"/>
      <c r="E200" s="3"/>
    </row>
    <row r="201">
      <c r="C201" s="3"/>
      <c r="E201" s="3"/>
    </row>
    <row r="202">
      <c r="C202" s="3"/>
      <c r="E202" s="3"/>
    </row>
    <row r="203">
      <c r="C203" s="3"/>
      <c r="E203" s="3"/>
    </row>
    <row r="204">
      <c r="C204" s="3"/>
      <c r="E204" s="3"/>
    </row>
    <row r="205">
      <c r="C205" s="3"/>
      <c r="E205" s="3"/>
    </row>
    <row r="206">
      <c r="C206" s="3"/>
      <c r="E206" s="3"/>
    </row>
    <row r="207">
      <c r="C207" s="3"/>
      <c r="E207" s="3"/>
    </row>
    <row r="208">
      <c r="C208" s="3"/>
      <c r="E208" s="3"/>
    </row>
    <row r="209">
      <c r="C209" s="3"/>
      <c r="E209" s="3"/>
    </row>
    <row r="210">
      <c r="C210" s="3"/>
      <c r="E210" s="3"/>
    </row>
    <row r="211">
      <c r="C211" s="3"/>
      <c r="E211" s="3"/>
    </row>
    <row r="212">
      <c r="C212" s="3"/>
      <c r="E212" s="3"/>
    </row>
    <row r="213">
      <c r="C213" s="3"/>
      <c r="E213" s="3"/>
    </row>
    <row r="214">
      <c r="C214" s="3"/>
      <c r="E214" s="3"/>
    </row>
    <row r="215">
      <c r="C215" s="3"/>
      <c r="E215" s="3"/>
    </row>
    <row r="216">
      <c r="C216" s="3"/>
      <c r="E216" s="3"/>
    </row>
    <row r="217">
      <c r="C217" s="3"/>
      <c r="E217" s="3"/>
    </row>
    <row r="218">
      <c r="C218" s="3"/>
      <c r="E218" s="3"/>
    </row>
    <row r="219">
      <c r="C219" s="3"/>
      <c r="E219" s="3"/>
    </row>
    <row r="220">
      <c r="C220" s="3"/>
      <c r="E220" s="3"/>
    </row>
    <row r="221">
      <c r="C221" s="3"/>
      <c r="E221" s="3"/>
    </row>
    <row r="222">
      <c r="C222" s="3"/>
      <c r="E222" s="3"/>
    </row>
    <row r="223">
      <c r="C223" s="3"/>
      <c r="E223" s="3"/>
    </row>
    <row r="224">
      <c r="C224" s="3"/>
      <c r="E224" s="3"/>
    </row>
    <row r="225">
      <c r="C225" s="3"/>
      <c r="E225" s="3"/>
    </row>
    <row r="226">
      <c r="C226" s="3"/>
      <c r="E226" s="3"/>
    </row>
    <row r="227">
      <c r="C227" s="3"/>
      <c r="E227" s="3"/>
    </row>
    <row r="228">
      <c r="C228" s="3"/>
      <c r="E228" s="3"/>
    </row>
    <row r="229">
      <c r="C229" s="3"/>
      <c r="E229" s="3"/>
    </row>
    <row r="230">
      <c r="C230" s="3"/>
      <c r="E230" s="3"/>
    </row>
    <row r="231">
      <c r="C231" s="3"/>
      <c r="E231" s="3"/>
    </row>
    <row r="232">
      <c r="C232" s="3"/>
      <c r="E232" s="3"/>
    </row>
    <row r="233">
      <c r="C233" s="3"/>
      <c r="E233" s="3"/>
    </row>
    <row r="234">
      <c r="C234" s="3"/>
      <c r="E234" s="3"/>
    </row>
    <row r="235">
      <c r="C235" s="3"/>
      <c r="E235" s="3"/>
    </row>
    <row r="236">
      <c r="C236" s="3"/>
      <c r="E236" s="3"/>
    </row>
    <row r="237">
      <c r="C237" s="3"/>
      <c r="E237" s="3"/>
    </row>
    <row r="238">
      <c r="C238" s="3"/>
      <c r="E238" s="3"/>
    </row>
    <row r="239">
      <c r="C239" s="3"/>
      <c r="E239" s="3"/>
    </row>
    <row r="240">
      <c r="C240" s="3"/>
      <c r="E240" s="3"/>
    </row>
    <row r="241">
      <c r="C241" s="3"/>
      <c r="E241" s="3"/>
    </row>
    <row r="242">
      <c r="C242" s="3"/>
      <c r="E242" s="3"/>
    </row>
    <row r="243">
      <c r="C243" s="3"/>
      <c r="E243" s="3"/>
    </row>
    <row r="244">
      <c r="C244" s="3"/>
      <c r="E244" s="3"/>
    </row>
    <row r="245">
      <c r="C245" s="3"/>
      <c r="E245" s="3"/>
    </row>
    <row r="246">
      <c r="C246" s="3"/>
      <c r="E246" s="3"/>
    </row>
    <row r="247">
      <c r="C247" s="3"/>
      <c r="E247" s="3"/>
    </row>
    <row r="248">
      <c r="C248" s="3"/>
      <c r="E248" s="3"/>
    </row>
    <row r="249">
      <c r="C249" s="3"/>
      <c r="E249" s="3"/>
    </row>
    <row r="250">
      <c r="C250" s="3"/>
      <c r="E250" s="3"/>
    </row>
    <row r="251">
      <c r="C251" s="3"/>
      <c r="E251" s="3"/>
    </row>
    <row r="252">
      <c r="C252" s="3"/>
      <c r="E252" s="3"/>
    </row>
    <row r="253">
      <c r="C253" s="3"/>
      <c r="E253" s="3"/>
    </row>
    <row r="254">
      <c r="C254" s="3"/>
      <c r="E254" s="3"/>
    </row>
    <row r="255">
      <c r="C255" s="3"/>
      <c r="E255" s="3"/>
    </row>
    <row r="256">
      <c r="C256" s="3"/>
      <c r="E256" s="3"/>
    </row>
    <row r="257">
      <c r="C257" s="3"/>
      <c r="E257" s="3"/>
    </row>
    <row r="258">
      <c r="C258" s="3"/>
      <c r="E258" s="3"/>
    </row>
    <row r="259">
      <c r="C259" s="3"/>
      <c r="E259" s="3"/>
    </row>
    <row r="260">
      <c r="C260" s="3"/>
      <c r="E260" s="3"/>
    </row>
    <row r="261">
      <c r="C261" s="3"/>
      <c r="E261" s="3"/>
    </row>
    <row r="262">
      <c r="C262" s="3"/>
      <c r="E262" s="3"/>
    </row>
    <row r="263">
      <c r="C263" s="3"/>
      <c r="E263" s="3"/>
    </row>
    <row r="264">
      <c r="C264" s="3"/>
      <c r="E264" s="3"/>
    </row>
    <row r="265">
      <c r="C265" s="3"/>
      <c r="E265" s="3"/>
    </row>
    <row r="266">
      <c r="C266" s="3"/>
      <c r="E266" s="3"/>
    </row>
    <row r="267">
      <c r="C267" s="3"/>
      <c r="E267" s="3"/>
    </row>
    <row r="268">
      <c r="C268" s="3"/>
      <c r="E268" s="3"/>
    </row>
    <row r="269">
      <c r="C269" s="3"/>
      <c r="E269" s="3"/>
    </row>
    <row r="270">
      <c r="C270" s="3"/>
      <c r="E270" s="3"/>
    </row>
    <row r="271">
      <c r="C271" s="3"/>
      <c r="E271" s="3"/>
    </row>
    <row r="272">
      <c r="C272" s="3"/>
      <c r="E272" s="3"/>
    </row>
    <row r="273">
      <c r="C273" s="3"/>
      <c r="E273" s="3"/>
    </row>
    <row r="274">
      <c r="C274" s="3"/>
      <c r="E274" s="3"/>
    </row>
    <row r="275">
      <c r="C275" s="3"/>
      <c r="E275" s="3"/>
    </row>
    <row r="276">
      <c r="C276" s="3"/>
      <c r="E276" s="3"/>
    </row>
    <row r="277">
      <c r="C277" s="3"/>
      <c r="E277" s="3"/>
    </row>
    <row r="278">
      <c r="C278" s="3"/>
      <c r="E278" s="3"/>
    </row>
    <row r="279">
      <c r="C279" s="3"/>
      <c r="E279" s="3"/>
    </row>
    <row r="280">
      <c r="C280" s="3"/>
      <c r="E280" s="3"/>
    </row>
    <row r="281">
      <c r="C281" s="3"/>
      <c r="E281" s="3"/>
    </row>
    <row r="282">
      <c r="C282" s="3"/>
      <c r="E282" s="3"/>
    </row>
    <row r="283">
      <c r="C283" s="3"/>
      <c r="E283" s="3"/>
    </row>
    <row r="284">
      <c r="C284" s="3"/>
      <c r="E284" s="3"/>
    </row>
    <row r="285">
      <c r="C285" s="3"/>
      <c r="E285" s="3"/>
    </row>
    <row r="286">
      <c r="C286" s="3"/>
      <c r="E286" s="3"/>
    </row>
    <row r="287">
      <c r="C287" s="3"/>
      <c r="E287" s="3"/>
    </row>
    <row r="288">
      <c r="C288" s="3"/>
      <c r="E288" s="3"/>
    </row>
    <row r="289">
      <c r="C289" s="3"/>
      <c r="E289" s="3"/>
    </row>
    <row r="290">
      <c r="C290" s="3"/>
      <c r="E290" s="3"/>
    </row>
    <row r="291">
      <c r="C291" s="3"/>
      <c r="E291" s="3"/>
    </row>
    <row r="292">
      <c r="C292" s="3"/>
      <c r="E292" s="3"/>
    </row>
    <row r="293">
      <c r="C293" s="3"/>
      <c r="E293" s="3"/>
    </row>
    <row r="294">
      <c r="C294" s="3"/>
      <c r="E294" s="3"/>
    </row>
    <row r="295">
      <c r="C295" s="3"/>
      <c r="E295" s="3"/>
    </row>
    <row r="296">
      <c r="C296" s="3"/>
      <c r="E296" s="3"/>
    </row>
    <row r="297">
      <c r="C297" s="3"/>
      <c r="E297" s="3"/>
    </row>
    <row r="298">
      <c r="C298" s="3"/>
      <c r="E298" s="3"/>
    </row>
    <row r="299">
      <c r="C299" s="3"/>
      <c r="E299" s="3"/>
    </row>
    <row r="300">
      <c r="C300" s="3"/>
      <c r="E300" s="3"/>
    </row>
    <row r="301">
      <c r="C301" s="3"/>
      <c r="E301" s="3"/>
    </row>
    <row r="302">
      <c r="C302" s="3"/>
      <c r="E302" s="3"/>
    </row>
    <row r="303">
      <c r="C303" s="3"/>
      <c r="E303" s="3"/>
    </row>
    <row r="304">
      <c r="C304" s="3"/>
      <c r="E304" s="3"/>
    </row>
    <row r="305">
      <c r="C305" s="3"/>
      <c r="E305" s="3"/>
    </row>
    <row r="306">
      <c r="C306" s="3"/>
      <c r="E306" s="3"/>
    </row>
    <row r="307">
      <c r="C307" s="3"/>
      <c r="E307" s="3"/>
    </row>
    <row r="308">
      <c r="C308" s="3"/>
      <c r="E308" s="3"/>
    </row>
    <row r="309">
      <c r="C309" s="3"/>
      <c r="E309" s="3"/>
    </row>
    <row r="310">
      <c r="C310" s="3"/>
      <c r="E310" s="3"/>
    </row>
    <row r="311">
      <c r="C311" s="3"/>
      <c r="E311" s="3"/>
    </row>
    <row r="312">
      <c r="C312" s="3"/>
      <c r="E312" s="3"/>
    </row>
    <row r="313">
      <c r="C313" s="3"/>
      <c r="E313" s="3"/>
    </row>
    <row r="314">
      <c r="C314" s="3"/>
      <c r="E314" s="3"/>
    </row>
    <row r="315">
      <c r="C315" s="3"/>
      <c r="E315" s="3"/>
    </row>
    <row r="316">
      <c r="C316" s="3"/>
      <c r="E316" s="3"/>
    </row>
    <row r="317">
      <c r="C317" s="3"/>
      <c r="E317" s="3"/>
    </row>
    <row r="318">
      <c r="C318" s="3"/>
      <c r="E318" s="3"/>
    </row>
    <row r="319">
      <c r="C319" s="3"/>
      <c r="E319" s="3"/>
    </row>
    <row r="320">
      <c r="C320" s="3"/>
      <c r="E320" s="3"/>
    </row>
    <row r="321">
      <c r="C321" s="3"/>
      <c r="E321" s="3"/>
    </row>
    <row r="322">
      <c r="C322" s="3"/>
      <c r="E322" s="3"/>
    </row>
    <row r="323">
      <c r="C323" s="3"/>
      <c r="E323" s="3"/>
    </row>
    <row r="324">
      <c r="C324" s="3"/>
      <c r="E324" s="3"/>
    </row>
    <row r="325">
      <c r="C325" s="3"/>
      <c r="E325" s="3"/>
    </row>
    <row r="326">
      <c r="C326" s="3"/>
      <c r="E326" s="3"/>
    </row>
    <row r="327">
      <c r="C327" s="3"/>
      <c r="E327" s="3"/>
    </row>
    <row r="328">
      <c r="C328" s="3"/>
      <c r="E328" s="3"/>
    </row>
    <row r="329">
      <c r="C329" s="3"/>
      <c r="E329" s="3"/>
    </row>
    <row r="330">
      <c r="C330" s="3"/>
      <c r="E330" s="3"/>
    </row>
    <row r="331">
      <c r="C331" s="3"/>
      <c r="E331" s="3"/>
    </row>
    <row r="332">
      <c r="C332" s="3"/>
      <c r="E332" s="3"/>
    </row>
    <row r="333">
      <c r="C333" s="3"/>
      <c r="E333" s="3"/>
    </row>
    <row r="334">
      <c r="C334" s="3"/>
      <c r="E334" s="3"/>
    </row>
    <row r="335">
      <c r="C335" s="3"/>
      <c r="E335" s="3"/>
    </row>
    <row r="336">
      <c r="C336" s="3"/>
      <c r="E336" s="3"/>
    </row>
    <row r="337">
      <c r="C337" s="3"/>
      <c r="E337" s="3"/>
    </row>
    <row r="338">
      <c r="C338" s="3"/>
      <c r="E338" s="3"/>
    </row>
    <row r="339">
      <c r="C339" s="3"/>
      <c r="E339" s="3"/>
    </row>
    <row r="340">
      <c r="C340" s="3"/>
      <c r="E340" s="3"/>
    </row>
    <row r="341">
      <c r="C341" s="3"/>
      <c r="E341" s="3"/>
    </row>
    <row r="342">
      <c r="C342" s="3"/>
      <c r="E342" s="3"/>
    </row>
    <row r="343">
      <c r="C343" s="3"/>
      <c r="E343" s="3"/>
    </row>
    <row r="344">
      <c r="C344" s="3"/>
      <c r="E344" s="3"/>
    </row>
    <row r="345">
      <c r="C345" s="3"/>
      <c r="E345" s="3"/>
    </row>
    <row r="346">
      <c r="C346" s="3"/>
      <c r="E346" s="3"/>
    </row>
    <row r="347">
      <c r="C347" s="3"/>
      <c r="E347" s="3"/>
    </row>
    <row r="348">
      <c r="C348" s="3"/>
      <c r="E348" s="3"/>
    </row>
    <row r="349">
      <c r="C349" s="3"/>
      <c r="E349" s="3"/>
    </row>
    <row r="350">
      <c r="C350" s="3"/>
      <c r="E350" s="3"/>
    </row>
    <row r="351">
      <c r="C351" s="3"/>
      <c r="E351" s="3"/>
    </row>
    <row r="352">
      <c r="C352" s="3"/>
      <c r="E352" s="3"/>
    </row>
    <row r="353">
      <c r="C353" s="3"/>
      <c r="E353" s="3"/>
    </row>
    <row r="354">
      <c r="C354" s="3"/>
      <c r="E354" s="3"/>
    </row>
    <row r="355">
      <c r="C355" s="3"/>
      <c r="E355" s="3"/>
    </row>
    <row r="356">
      <c r="C356" s="3"/>
      <c r="E356" s="3"/>
    </row>
    <row r="357">
      <c r="C357" s="3"/>
      <c r="E357" s="3"/>
    </row>
    <row r="358">
      <c r="C358" s="3"/>
      <c r="E358" s="3"/>
    </row>
    <row r="359">
      <c r="C359" s="3"/>
      <c r="E359" s="3"/>
    </row>
    <row r="360">
      <c r="C360" s="3"/>
      <c r="E360" s="3"/>
    </row>
    <row r="361">
      <c r="C361" s="3"/>
      <c r="E361" s="3"/>
    </row>
    <row r="362">
      <c r="C362" s="3"/>
      <c r="E362" s="3"/>
    </row>
    <row r="363">
      <c r="C363" s="3"/>
      <c r="E363" s="3"/>
    </row>
    <row r="364">
      <c r="C364" s="3"/>
      <c r="E364" s="3"/>
    </row>
    <row r="365">
      <c r="C365" s="3"/>
      <c r="E365" s="3"/>
    </row>
    <row r="366">
      <c r="C366" s="3"/>
      <c r="E366" s="3"/>
    </row>
    <row r="367">
      <c r="C367" s="3"/>
      <c r="E367" s="3"/>
    </row>
    <row r="368">
      <c r="C368" s="3"/>
      <c r="E368" s="3"/>
    </row>
    <row r="369">
      <c r="C369" s="3"/>
      <c r="E369" s="3"/>
    </row>
    <row r="370">
      <c r="C370" s="3"/>
      <c r="E370" s="3"/>
    </row>
    <row r="371">
      <c r="C371" s="3"/>
      <c r="E371" s="3"/>
    </row>
    <row r="372">
      <c r="C372" s="3"/>
      <c r="E372" s="3"/>
    </row>
    <row r="373">
      <c r="C373" s="3"/>
      <c r="E373" s="3"/>
    </row>
    <row r="374">
      <c r="C374" s="3"/>
      <c r="E374" s="3"/>
    </row>
    <row r="375">
      <c r="C375" s="3"/>
      <c r="E375" s="3"/>
    </row>
    <row r="376">
      <c r="C376" s="3"/>
      <c r="E376" s="3"/>
    </row>
    <row r="377">
      <c r="C377" s="3"/>
      <c r="E377" s="3"/>
    </row>
    <row r="378">
      <c r="C378" s="3"/>
      <c r="E378" s="3"/>
    </row>
    <row r="379">
      <c r="C379" s="3"/>
      <c r="E379" s="3"/>
    </row>
    <row r="380">
      <c r="C380" s="3"/>
      <c r="E380" s="3"/>
    </row>
    <row r="381">
      <c r="C381" s="3"/>
      <c r="E381" s="3"/>
    </row>
    <row r="382">
      <c r="C382" s="3"/>
      <c r="E382" s="3"/>
    </row>
    <row r="383">
      <c r="C383" s="3"/>
      <c r="E383" s="3"/>
    </row>
    <row r="384">
      <c r="C384" s="3"/>
      <c r="E384" s="3"/>
    </row>
    <row r="385">
      <c r="C385" s="3"/>
      <c r="E385" s="3"/>
    </row>
    <row r="386">
      <c r="C386" s="3"/>
      <c r="E386" s="3"/>
    </row>
    <row r="387">
      <c r="C387" s="3"/>
      <c r="E387" s="3"/>
    </row>
    <row r="388">
      <c r="C388" s="3"/>
      <c r="E388" s="3"/>
    </row>
    <row r="389">
      <c r="C389" s="3"/>
      <c r="E389" s="3"/>
    </row>
    <row r="390">
      <c r="C390" s="3"/>
      <c r="E390" s="3"/>
    </row>
    <row r="391">
      <c r="C391" s="3"/>
      <c r="E391" s="3"/>
    </row>
    <row r="392">
      <c r="C392" s="3"/>
      <c r="E392" s="3"/>
    </row>
    <row r="393">
      <c r="C393" s="3"/>
      <c r="E393" s="3"/>
    </row>
    <row r="394">
      <c r="C394" s="3"/>
      <c r="E394" s="3"/>
    </row>
    <row r="395">
      <c r="C395" s="3"/>
      <c r="E395" s="3"/>
    </row>
    <row r="396">
      <c r="C396" s="3"/>
      <c r="E396" s="3"/>
    </row>
    <row r="397">
      <c r="C397" s="3"/>
      <c r="E397" s="3"/>
    </row>
    <row r="398">
      <c r="C398" s="3"/>
      <c r="E398" s="3"/>
    </row>
    <row r="399">
      <c r="C399" s="3"/>
      <c r="E399" s="3"/>
    </row>
    <row r="400">
      <c r="C400" s="3"/>
      <c r="E400" s="3"/>
    </row>
    <row r="401">
      <c r="C401" s="3"/>
      <c r="E401" s="3"/>
    </row>
    <row r="402">
      <c r="C402" s="3"/>
      <c r="E402" s="3"/>
    </row>
    <row r="403">
      <c r="C403" s="3"/>
      <c r="E403" s="3"/>
    </row>
    <row r="404">
      <c r="C404" s="3"/>
      <c r="E404" s="3"/>
    </row>
    <row r="405">
      <c r="C405" s="3"/>
      <c r="E405" s="3"/>
    </row>
    <row r="406">
      <c r="C406" s="3"/>
      <c r="E406" s="3"/>
    </row>
    <row r="407">
      <c r="C407" s="3"/>
      <c r="E407" s="3"/>
    </row>
    <row r="408">
      <c r="C408" s="3"/>
      <c r="E408" s="3"/>
    </row>
    <row r="409">
      <c r="C409" s="3"/>
      <c r="E409" s="3"/>
    </row>
    <row r="410">
      <c r="C410" s="3"/>
      <c r="E410" s="3"/>
    </row>
    <row r="411">
      <c r="C411" s="3"/>
      <c r="E411" s="3"/>
    </row>
    <row r="412">
      <c r="C412" s="3"/>
      <c r="E412" s="3"/>
    </row>
    <row r="413">
      <c r="C413" s="3"/>
      <c r="E413" s="3"/>
    </row>
    <row r="414">
      <c r="C414" s="3"/>
      <c r="E414" s="3"/>
    </row>
    <row r="415">
      <c r="C415" s="3"/>
      <c r="E415" s="3"/>
    </row>
    <row r="416">
      <c r="C416" s="3"/>
      <c r="E416" s="3"/>
    </row>
    <row r="417">
      <c r="C417" s="3"/>
      <c r="E417" s="3"/>
    </row>
    <row r="418">
      <c r="C418" s="3"/>
      <c r="E418" s="3"/>
    </row>
    <row r="419">
      <c r="C419" s="3"/>
      <c r="E419" s="3"/>
    </row>
    <row r="420">
      <c r="C420" s="3"/>
      <c r="E420" s="3"/>
    </row>
    <row r="421">
      <c r="C421" s="3"/>
      <c r="E421" s="3"/>
    </row>
    <row r="422">
      <c r="C422" s="3"/>
      <c r="E422" s="3"/>
    </row>
    <row r="423">
      <c r="C423" s="3"/>
      <c r="E423" s="3"/>
    </row>
    <row r="424">
      <c r="C424" s="3"/>
      <c r="E424" s="3"/>
    </row>
    <row r="425">
      <c r="C425" s="3"/>
      <c r="E425" s="3"/>
    </row>
    <row r="426">
      <c r="C426" s="3"/>
      <c r="E426" s="3"/>
    </row>
    <row r="427">
      <c r="C427" s="3"/>
      <c r="E427" s="3"/>
    </row>
    <row r="428">
      <c r="C428" s="3"/>
      <c r="E428" s="3"/>
    </row>
    <row r="429">
      <c r="C429" s="3"/>
      <c r="E429" s="3"/>
    </row>
    <row r="430">
      <c r="C430" s="3"/>
      <c r="E430" s="3"/>
    </row>
    <row r="431">
      <c r="C431" s="3"/>
      <c r="E431" s="3"/>
    </row>
    <row r="432">
      <c r="C432" s="3"/>
      <c r="E432" s="3"/>
    </row>
    <row r="433">
      <c r="C433" s="3"/>
      <c r="E433" s="3"/>
    </row>
    <row r="434">
      <c r="C434" s="3"/>
      <c r="E434" s="3"/>
    </row>
    <row r="435">
      <c r="C435" s="3"/>
      <c r="E435" s="3"/>
    </row>
    <row r="436">
      <c r="C436" s="3"/>
      <c r="E436" s="3"/>
    </row>
    <row r="437">
      <c r="C437" s="3"/>
      <c r="E437" s="3"/>
    </row>
    <row r="438">
      <c r="C438" s="3"/>
      <c r="E438" s="3"/>
    </row>
    <row r="439">
      <c r="C439" s="3"/>
      <c r="E439" s="3"/>
    </row>
    <row r="440">
      <c r="C440" s="3"/>
      <c r="E440" s="3"/>
    </row>
    <row r="441">
      <c r="C441" s="3"/>
      <c r="E441" s="3"/>
    </row>
    <row r="442">
      <c r="C442" s="3"/>
      <c r="E442" s="3"/>
    </row>
    <row r="443">
      <c r="C443" s="3"/>
      <c r="E443" s="3"/>
    </row>
    <row r="444">
      <c r="C444" s="3"/>
      <c r="E444" s="3"/>
    </row>
    <row r="445">
      <c r="C445" s="3"/>
      <c r="E445" s="3"/>
    </row>
    <row r="446">
      <c r="C446" s="3"/>
      <c r="E446" s="3"/>
    </row>
    <row r="447">
      <c r="C447" s="3"/>
      <c r="E447" s="3"/>
    </row>
    <row r="448">
      <c r="C448" s="3"/>
      <c r="E448" s="3"/>
    </row>
    <row r="449">
      <c r="C449" s="3"/>
      <c r="E449" s="3"/>
    </row>
    <row r="450">
      <c r="C450" s="3"/>
      <c r="E450" s="3"/>
    </row>
    <row r="451">
      <c r="C451" s="3"/>
      <c r="E451" s="3"/>
    </row>
    <row r="452">
      <c r="C452" s="3"/>
      <c r="E452" s="3"/>
    </row>
    <row r="453">
      <c r="C453" s="3"/>
      <c r="E453" s="3"/>
    </row>
    <row r="454">
      <c r="C454" s="3"/>
      <c r="E454" s="3"/>
    </row>
    <row r="455">
      <c r="C455" s="3"/>
      <c r="E455" s="3"/>
    </row>
    <row r="456">
      <c r="C456" s="3"/>
      <c r="E456" s="3"/>
    </row>
    <row r="457">
      <c r="C457" s="3"/>
      <c r="E457" s="3"/>
    </row>
    <row r="458">
      <c r="C458" s="3"/>
      <c r="E458" s="3"/>
    </row>
    <row r="459">
      <c r="C459" s="3"/>
      <c r="E459" s="3"/>
    </row>
    <row r="460">
      <c r="C460" s="3"/>
      <c r="E460" s="3"/>
    </row>
    <row r="461">
      <c r="C461" s="3"/>
      <c r="E461" s="3"/>
    </row>
    <row r="462">
      <c r="C462" s="3"/>
      <c r="E462" s="3"/>
    </row>
    <row r="463">
      <c r="C463" s="3"/>
      <c r="E463" s="3"/>
    </row>
    <row r="464">
      <c r="C464" s="3"/>
      <c r="E464" s="3"/>
    </row>
    <row r="465">
      <c r="C465" s="3"/>
      <c r="E465" s="3"/>
    </row>
    <row r="466">
      <c r="C466" s="3"/>
      <c r="E466" s="3"/>
    </row>
    <row r="467">
      <c r="C467" s="3"/>
      <c r="E467" s="3"/>
    </row>
    <row r="468">
      <c r="C468" s="3"/>
      <c r="E468" s="3"/>
    </row>
    <row r="469">
      <c r="C469" s="3"/>
      <c r="E469" s="3"/>
    </row>
    <row r="470">
      <c r="C470" s="3"/>
      <c r="E470" s="3"/>
    </row>
    <row r="471">
      <c r="C471" s="3"/>
      <c r="E471" s="3"/>
    </row>
    <row r="472">
      <c r="C472" s="3"/>
      <c r="E472" s="3"/>
    </row>
    <row r="473">
      <c r="C473" s="3"/>
      <c r="E473" s="3"/>
    </row>
    <row r="474">
      <c r="C474" s="3"/>
      <c r="E474" s="3"/>
    </row>
    <row r="475">
      <c r="C475" s="3"/>
      <c r="E475" s="3"/>
    </row>
    <row r="476">
      <c r="C476" s="3"/>
      <c r="E476" s="3"/>
    </row>
    <row r="477">
      <c r="C477" s="3"/>
      <c r="E477" s="3"/>
    </row>
    <row r="478">
      <c r="C478" s="3"/>
      <c r="E478" s="3"/>
    </row>
    <row r="479">
      <c r="C479" s="3"/>
      <c r="E479" s="3"/>
    </row>
    <row r="480">
      <c r="C480" s="3"/>
      <c r="E480" s="3"/>
    </row>
    <row r="481">
      <c r="C481" s="3"/>
      <c r="E481" s="3"/>
    </row>
    <row r="482">
      <c r="C482" s="3"/>
      <c r="E482" s="3"/>
    </row>
    <row r="483">
      <c r="C483" s="3"/>
      <c r="E483" s="3"/>
    </row>
    <row r="484">
      <c r="C484" s="3"/>
      <c r="E484" s="3"/>
    </row>
    <row r="485">
      <c r="C485" s="3"/>
      <c r="E485" s="3"/>
    </row>
    <row r="486">
      <c r="C486" s="3"/>
      <c r="E486" s="3"/>
    </row>
    <row r="487">
      <c r="C487" s="3"/>
      <c r="E487" s="3"/>
    </row>
    <row r="488">
      <c r="C488" s="3"/>
      <c r="E488" s="3"/>
    </row>
    <row r="489">
      <c r="C489" s="3"/>
      <c r="E489" s="3"/>
    </row>
    <row r="490">
      <c r="C490" s="3"/>
      <c r="E490" s="3"/>
    </row>
    <row r="491">
      <c r="C491" s="3"/>
      <c r="E491" s="3"/>
    </row>
    <row r="492">
      <c r="C492" s="3"/>
      <c r="E492" s="3"/>
    </row>
    <row r="493">
      <c r="C493" s="3"/>
      <c r="E493" s="3"/>
    </row>
    <row r="494">
      <c r="C494" s="3"/>
      <c r="E494" s="3"/>
    </row>
    <row r="495">
      <c r="C495" s="3"/>
      <c r="E495" s="3"/>
    </row>
    <row r="496">
      <c r="C496" s="3"/>
      <c r="E496" s="3"/>
    </row>
    <row r="497">
      <c r="C497" s="3"/>
      <c r="E497" s="3"/>
    </row>
    <row r="498">
      <c r="C498" s="3"/>
      <c r="E498" s="3"/>
    </row>
    <row r="499">
      <c r="C499" s="3"/>
      <c r="E499" s="3"/>
    </row>
    <row r="500">
      <c r="C500" s="3"/>
      <c r="E500" s="3"/>
    </row>
    <row r="501">
      <c r="C501" s="3"/>
      <c r="E501" s="3"/>
    </row>
    <row r="502">
      <c r="C502" s="3"/>
      <c r="E502" s="3"/>
    </row>
    <row r="503">
      <c r="C503" s="3"/>
      <c r="E503" s="3"/>
    </row>
    <row r="504">
      <c r="C504" s="3"/>
      <c r="E504" s="3"/>
    </row>
    <row r="505">
      <c r="C505" s="3"/>
      <c r="E505" s="3"/>
    </row>
    <row r="506">
      <c r="C506" s="3"/>
      <c r="E506" s="3"/>
    </row>
    <row r="507">
      <c r="C507" s="3"/>
      <c r="E507" s="3"/>
    </row>
    <row r="508">
      <c r="C508" s="3"/>
      <c r="E508" s="3"/>
    </row>
    <row r="509">
      <c r="C509" s="3"/>
      <c r="E509" s="3"/>
    </row>
    <row r="510">
      <c r="C510" s="3"/>
      <c r="E510" s="3"/>
    </row>
    <row r="511">
      <c r="C511" s="3"/>
      <c r="E511" s="3"/>
    </row>
    <row r="512">
      <c r="C512" s="3"/>
      <c r="E512" s="3"/>
    </row>
    <row r="513">
      <c r="C513" s="3"/>
      <c r="E513" s="3"/>
    </row>
    <row r="514">
      <c r="C514" s="3"/>
      <c r="E514" s="3"/>
    </row>
    <row r="515">
      <c r="C515" s="3"/>
      <c r="E515" s="3"/>
    </row>
    <row r="516">
      <c r="C516" s="3"/>
      <c r="E516" s="3"/>
    </row>
    <row r="517">
      <c r="C517" s="3"/>
      <c r="E517" s="3"/>
    </row>
    <row r="518">
      <c r="C518" s="3"/>
      <c r="E518" s="3"/>
    </row>
    <row r="519">
      <c r="C519" s="3"/>
      <c r="E519" s="3"/>
    </row>
    <row r="520">
      <c r="C520" s="3"/>
      <c r="E520" s="3"/>
    </row>
    <row r="521">
      <c r="C521" s="3"/>
      <c r="E521" s="3"/>
    </row>
    <row r="522">
      <c r="C522" s="3"/>
      <c r="E522" s="3"/>
    </row>
    <row r="523">
      <c r="C523" s="3"/>
      <c r="E523" s="3"/>
    </row>
    <row r="524">
      <c r="C524" s="3"/>
      <c r="E524" s="3"/>
    </row>
    <row r="525">
      <c r="C525" s="3"/>
      <c r="E525" s="3"/>
    </row>
    <row r="526">
      <c r="C526" s="3"/>
      <c r="E526" s="3"/>
    </row>
    <row r="527">
      <c r="C527" s="3"/>
      <c r="E527" s="3"/>
    </row>
    <row r="528">
      <c r="C528" s="3"/>
      <c r="E528" s="3"/>
    </row>
    <row r="529">
      <c r="C529" s="3"/>
      <c r="E529" s="3"/>
    </row>
    <row r="530">
      <c r="C530" s="3"/>
      <c r="E530" s="3"/>
    </row>
    <row r="531">
      <c r="C531" s="3"/>
      <c r="E531" s="3"/>
    </row>
    <row r="532">
      <c r="C532" s="3"/>
      <c r="E532" s="3"/>
    </row>
    <row r="533">
      <c r="C533" s="3"/>
      <c r="E533" s="3"/>
    </row>
    <row r="534">
      <c r="C534" s="3"/>
      <c r="E534" s="3"/>
    </row>
    <row r="535">
      <c r="C535" s="3"/>
      <c r="E535" s="3"/>
    </row>
    <row r="536">
      <c r="C536" s="3"/>
      <c r="E536" s="3"/>
    </row>
    <row r="537">
      <c r="C537" s="3"/>
      <c r="E537" s="3"/>
    </row>
    <row r="538">
      <c r="C538" s="3"/>
      <c r="E538" s="3"/>
    </row>
    <row r="539">
      <c r="C539" s="3"/>
      <c r="E539" s="3"/>
    </row>
    <row r="540">
      <c r="C540" s="3"/>
      <c r="E540" s="3"/>
    </row>
    <row r="541">
      <c r="C541" s="3"/>
      <c r="E541" s="3"/>
    </row>
    <row r="542">
      <c r="C542" s="3"/>
      <c r="E542" s="3"/>
    </row>
    <row r="543">
      <c r="C543" s="3"/>
      <c r="E543" s="3"/>
    </row>
    <row r="544">
      <c r="C544" s="3"/>
      <c r="E544" s="3"/>
    </row>
    <row r="545">
      <c r="C545" s="3"/>
      <c r="E545" s="3"/>
    </row>
    <row r="546">
      <c r="C546" s="3"/>
      <c r="E546" s="3"/>
    </row>
    <row r="547">
      <c r="C547" s="3"/>
      <c r="E547" s="3"/>
    </row>
    <row r="548">
      <c r="C548" s="3"/>
      <c r="E548" s="3"/>
    </row>
    <row r="549">
      <c r="C549" s="3"/>
      <c r="E549" s="3"/>
    </row>
    <row r="550">
      <c r="C550" s="3"/>
      <c r="E550" s="3"/>
    </row>
    <row r="551">
      <c r="C551" s="3"/>
      <c r="E551" s="3"/>
    </row>
    <row r="552">
      <c r="C552" s="3"/>
      <c r="E552" s="3"/>
    </row>
    <row r="553">
      <c r="C553" s="3"/>
      <c r="E553" s="3"/>
    </row>
    <row r="554">
      <c r="C554" s="3"/>
      <c r="E554" s="3"/>
    </row>
    <row r="555">
      <c r="C555" s="3"/>
      <c r="E555" s="3"/>
    </row>
    <row r="556">
      <c r="C556" s="3"/>
      <c r="E556" s="3"/>
    </row>
    <row r="557">
      <c r="C557" s="3"/>
      <c r="E557" s="3"/>
    </row>
    <row r="558">
      <c r="C558" s="3"/>
      <c r="E558" s="3"/>
    </row>
    <row r="559">
      <c r="C559" s="3"/>
      <c r="E559" s="3"/>
    </row>
    <row r="560">
      <c r="C560" s="3"/>
      <c r="E560" s="3"/>
    </row>
    <row r="561">
      <c r="C561" s="3"/>
      <c r="E561" s="3"/>
    </row>
    <row r="562">
      <c r="C562" s="3"/>
      <c r="E562" s="3"/>
    </row>
    <row r="563">
      <c r="C563" s="3"/>
      <c r="E563" s="3"/>
    </row>
    <row r="564">
      <c r="C564" s="3"/>
      <c r="E564" s="3"/>
    </row>
    <row r="565">
      <c r="C565" s="3"/>
      <c r="E565" s="3"/>
    </row>
    <row r="566">
      <c r="C566" s="3"/>
      <c r="E566" s="3"/>
    </row>
    <row r="567">
      <c r="C567" s="3"/>
      <c r="E567" s="3"/>
    </row>
    <row r="568">
      <c r="C568" s="3"/>
      <c r="E568" s="3"/>
    </row>
    <row r="569">
      <c r="C569" s="3"/>
      <c r="E569" s="3"/>
    </row>
    <row r="570">
      <c r="C570" s="3"/>
      <c r="E570" s="3"/>
    </row>
    <row r="571">
      <c r="C571" s="3"/>
      <c r="E571" s="3"/>
    </row>
    <row r="572">
      <c r="C572" s="3"/>
      <c r="E572" s="3"/>
    </row>
    <row r="573">
      <c r="C573" s="3"/>
      <c r="E573" s="3"/>
    </row>
    <row r="574">
      <c r="C574" s="3"/>
      <c r="E574" s="3"/>
    </row>
    <row r="575">
      <c r="C575" s="3"/>
      <c r="E575" s="3"/>
    </row>
    <row r="576">
      <c r="C576" s="3"/>
      <c r="E576" s="3"/>
    </row>
    <row r="577">
      <c r="C577" s="3"/>
      <c r="E577" s="3"/>
    </row>
    <row r="578">
      <c r="C578" s="3"/>
      <c r="E578" s="3"/>
    </row>
    <row r="579">
      <c r="C579" s="3"/>
      <c r="E579" s="3"/>
    </row>
    <row r="580">
      <c r="C580" s="3"/>
      <c r="E580" s="3"/>
    </row>
    <row r="581">
      <c r="C581" s="3"/>
      <c r="E581" s="3"/>
    </row>
    <row r="582">
      <c r="C582" s="3"/>
      <c r="E582" s="3"/>
    </row>
    <row r="583">
      <c r="C583" s="3"/>
      <c r="E583" s="3"/>
    </row>
    <row r="584">
      <c r="C584" s="3"/>
      <c r="E584" s="3"/>
    </row>
    <row r="585">
      <c r="C585" s="3"/>
      <c r="E585" s="3"/>
    </row>
    <row r="586">
      <c r="C586" s="3"/>
      <c r="E586" s="3"/>
    </row>
    <row r="587">
      <c r="C587" s="3"/>
      <c r="E587" s="3"/>
    </row>
    <row r="588">
      <c r="C588" s="3"/>
      <c r="E588" s="3"/>
    </row>
    <row r="589">
      <c r="C589" s="3"/>
      <c r="E589" s="3"/>
    </row>
    <row r="590">
      <c r="C590" s="3"/>
      <c r="E590" s="3"/>
    </row>
    <row r="591">
      <c r="C591" s="3"/>
      <c r="E591" s="3"/>
    </row>
    <row r="592">
      <c r="C592" s="3"/>
      <c r="E592" s="3"/>
    </row>
    <row r="593">
      <c r="C593" s="3"/>
      <c r="E593" s="3"/>
    </row>
    <row r="594">
      <c r="C594" s="3"/>
      <c r="E594" s="3"/>
    </row>
    <row r="595">
      <c r="C595" s="3"/>
      <c r="E595" s="3"/>
    </row>
    <row r="596">
      <c r="C596" s="3"/>
      <c r="E596" s="3"/>
    </row>
    <row r="597">
      <c r="C597" s="3"/>
      <c r="E597" s="3"/>
    </row>
    <row r="598">
      <c r="C598" s="3"/>
      <c r="E598" s="3"/>
    </row>
    <row r="599">
      <c r="C599" s="3"/>
      <c r="E599" s="3"/>
    </row>
    <row r="600">
      <c r="C600" s="3"/>
      <c r="E600" s="3"/>
    </row>
    <row r="601">
      <c r="C601" s="3"/>
      <c r="E601" s="3"/>
    </row>
    <row r="602">
      <c r="C602" s="3"/>
      <c r="E602" s="3"/>
    </row>
    <row r="603">
      <c r="C603" s="3"/>
      <c r="E603" s="3"/>
    </row>
    <row r="604">
      <c r="C604" s="3"/>
      <c r="E604" s="3"/>
    </row>
    <row r="605">
      <c r="C605" s="3"/>
      <c r="E605" s="3"/>
    </row>
    <row r="606">
      <c r="C606" s="3"/>
      <c r="E606" s="3"/>
    </row>
    <row r="607">
      <c r="C607" s="3"/>
      <c r="E607" s="3"/>
    </row>
    <row r="608">
      <c r="C608" s="3"/>
      <c r="E608" s="3"/>
    </row>
    <row r="609">
      <c r="C609" s="3"/>
      <c r="E609" s="3"/>
    </row>
    <row r="610">
      <c r="C610" s="3"/>
      <c r="E610" s="3"/>
    </row>
    <row r="611">
      <c r="C611" s="3"/>
      <c r="E611" s="3"/>
    </row>
    <row r="612">
      <c r="C612" s="3"/>
      <c r="E612" s="3"/>
    </row>
    <row r="613">
      <c r="C613" s="3"/>
      <c r="E613" s="3"/>
    </row>
    <row r="614">
      <c r="C614" s="3"/>
      <c r="E614" s="3"/>
    </row>
    <row r="615">
      <c r="C615" s="3"/>
      <c r="E615" s="3"/>
    </row>
    <row r="616">
      <c r="C616" s="3"/>
      <c r="E616" s="3"/>
    </row>
    <row r="617">
      <c r="C617" s="3"/>
      <c r="E617" s="3"/>
    </row>
    <row r="618">
      <c r="C618" s="3"/>
      <c r="E618" s="3"/>
    </row>
    <row r="619">
      <c r="C619" s="3"/>
      <c r="E619" s="3"/>
    </row>
    <row r="620">
      <c r="C620" s="3"/>
      <c r="E620" s="3"/>
    </row>
    <row r="621">
      <c r="C621" s="3"/>
      <c r="E621" s="3"/>
    </row>
    <row r="622">
      <c r="C622" s="3"/>
      <c r="E622" s="3"/>
    </row>
    <row r="623">
      <c r="C623" s="3"/>
      <c r="E623" s="3"/>
    </row>
    <row r="624">
      <c r="C624" s="3"/>
      <c r="E624" s="3"/>
    </row>
    <row r="625">
      <c r="C625" s="3"/>
      <c r="E625" s="3"/>
    </row>
    <row r="626">
      <c r="C626" s="3"/>
      <c r="E626" s="3"/>
    </row>
    <row r="627">
      <c r="C627" s="3"/>
      <c r="E627" s="3"/>
    </row>
    <row r="628">
      <c r="C628" s="3"/>
      <c r="E628" s="3"/>
    </row>
    <row r="629">
      <c r="C629" s="3"/>
      <c r="E629" s="3"/>
    </row>
    <row r="630">
      <c r="C630" s="3"/>
      <c r="E630" s="3"/>
    </row>
    <row r="631">
      <c r="C631" s="3"/>
      <c r="E631" s="3"/>
    </row>
    <row r="632">
      <c r="C632" s="3"/>
      <c r="E632" s="3"/>
    </row>
    <row r="633">
      <c r="C633" s="3"/>
      <c r="E633" s="3"/>
    </row>
    <row r="634">
      <c r="C634" s="3"/>
      <c r="E634" s="3"/>
    </row>
    <row r="635">
      <c r="C635" s="3"/>
      <c r="E635" s="3"/>
    </row>
    <row r="636">
      <c r="C636" s="3"/>
      <c r="E636" s="3"/>
    </row>
    <row r="637">
      <c r="C637" s="3"/>
      <c r="E637" s="3"/>
    </row>
    <row r="638">
      <c r="C638" s="3"/>
      <c r="E638" s="3"/>
    </row>
    <row r="639">
      <c r="C639" s="3"/>
      <c r="E639" s="3"/>
    </row>
    <row r="640">
      <c r="C640" s="3"/>
      <c r="E640" s="3"/>
    </row>
    <row r="641">
      <c r="C641" s="3"/>
      <c r="E641" s="3"/>
    </row>
    <row r="642">
      <c r="C642" s="3"/>
      <c r="E642" s="3"/>
    </row>
    <row r="643">
      <c r="C643" s="3"/>
      <c r="E643" s="3"/>
    </row>
    <row r="644">
      <c r="C644" s="3"/>
      <c r="E644" s="3"/>
    </row>
    <row r="645">
      <c r="C645" s="3"/>
      <c r="E645" s="3"/>
    </row>
    <row r="646">
      <c r="C646" s="3"/>
      <c r="E646" s="3"/>
    </row>
    <row r="647">
      <c r="C647" s="3"/>
      <c r="E647" s="3"/>
    </row>
    <row r="648">
      <c r="C648" s="3"/>
      <c r="E648" s="3"/>
    </row>
    <row r="649">
      <c r="C649" s="3"/>
      <c r="E649" s="3"/>
    </row>
    <row r="650">
      <c r="C650" s="3"/>
      <c r="E650" s="3"/>
    </row>
    <row r="651">
      <c r="C651" s="3"/>
      <c r="E651" s="3"/>
    </row>
    <row r="652">
      <c r="C652" s="3"/>
      <c r="E652" s="3"/>
    </row>
    <row r="653">
      <c r="C653" s="3"/>
      <c r="E653" s="3"/>
    </row>
    <row r="654">
      <c r="C654" s="3"/>
      <c r="E654" s="3"/>
    </row>
    <row r="655">
      <c r="C655" s="3"/>
      <c r="E655" s="3"/>
    </row>
    <row r="656">
      <c r="C656" s="3"/>
      <c r="E656" s="3"/>
    </row>
    <row r="657">
      <c r="C657" s="3"/>
      <c r="E657" s="3"/>
    </row>
    <row r="658">
      <c r="C658" s="3"/>
      <c r="E658" s="3"/>
    </row>
    <row r="659">
      <c r="C659" s="3"/>
      <c r="E659" s="3"/>
    </row>
    <row r="660">
      <c r="C660" s="3"/>
      <c r="E660" s="3"/>
    </row>
    <row r="661">
      <c r="C661" s="3"/>
      <c r="E661" s="3"/>
    </row>
    <row r="662">
      <c r="C662" s="3"/>
      <c r="E662" s="3"/>
    </row>
    <row r="663">
      <c r="C663" s="3"/>
      <c r="E663" s="3"/>
    </row>
    <row r="664">
      <c r="C664" s="3"/>
      <c r="E664" s="3"/>
    </row>
    <row r="665">
      <c r="C665" s="3"/>
      <c r="E665" s="3"/>
    </row>
    <row r="666">
      <c r="C666" s="3"/>
      <c r="E666" s="3"/>
    </row>
    <row r="667">
      <c r="C667" s="3"/>
      <c r="E667" s="3"/>
    </row>
    <row r="668">
      <c r="C668" s="3"/>
      <c r="E668" s="3"/>
    </row>
    <row r="669">
      <c r="C669" s="3"/>
      <c r="E669" s="3"/>
    </row>
    <row r="670">
      <c r="C670" s="3"/>
      <c r="E670" s="3"/>
    </row>
    <row r="671">
      <c r="C671" s="3"/>
      <c r="E671" s="3"/>
    </row>
    <row r="672">
      <c r="C672" s="3"/>
      <c r="E672" s="3"/>
    </row>
    <row r="673">
      <c r="C673" s="3"/>
      <c r="E673" s="3"/>
    </row>
    <row r="674">
      <c r="C674" s="3"/>
      <c r="E674" s="3"/>
    </row>
    <row r="675">
      <c r="C675" s="3"/>
      <c r="E675" s="3"/>
    </row>
    <row r="676">
      <c r="C676" s="3"/>
      <c r="E676" s="3"/>
    </row>
    <row r="677">
      <c r="C677" s="3"/>
      <c r="E677" s="3"/>
    </row>
    <row r="678">
      <c r="C678" s="3"/>
      <c r="E678" s="3"/>
    </row>
    <row r="679">
      <c r="C679" s="3"/>
      <c r="E679" s="3"/>
    </row>
    <row r="680">
      <c r="C680" s="3"/>
      <c r="E680" s="3"/>
    </row>
    <row r="681">
      <c r="C681" s="3"/>
      <c r="E681" s="3"/>
    </row>
    <row r="682">
      <c r="C682" s="3"/>
      <c r="E682" s="3"/>
    </row>
    <row r="683">
      <c r="C683" s="3"/>
      <c r="E683" s="3"/>
    </row>
    <row r="684">
      <c r="C684" s="3"/>
      <c r="E684" s="3"/>
    </row>
    <row r="685">
      <c r="C685" s="3"/>
      <c r="E685" s="3"/>
    </row>
    <row r="686">
      <c r="C686" s="3"/>
      <c r="E686" s="3"/>
    </row>
    <row r="687">
      <c r="C687" s="3"/>
      <c r="E687" s="3"/>
    </row>
    <row r="688">
      <c r="C688" s="3"/>
      <c r="E688" s="3"/>
    </row>
    <row r="689">
      <c r="C689" s="3"/>
      <c r="E689" s="3"/>
    </row>
    <row r="690">
      <c r="C690" s="3"/>
      <c r="E690" s="3"/>
    </row>
    <row r="691">
      <c r="C691" s="3"/>
      <c r="E691" s="3"/>
    </row>
    <row r="692">
      <c r="C692" s="3"/>
      <c r="E692" s="3"/>
    </row>
    <row r="693">
      <c r="C693" s="3"/>
      <c r="E693" s="3"/>
    </row>
    <row r="694">
      <c r="C694" s="3"/>
      <c r="E694" s="3"/>
    </row>
    <row r="695">
      <c r="C695" s="3"/>
      <c r="E695" s="3"/>
    </row>
    <row r="696">
      <c r="C696" s="3"/>
      <c r="E696" s="3"/>
    </row>
    <row r="697">
      <c r="C697" s="3"/>
      <c r="E697" s="3"/>
    </row>
    <row r="698">
      <c r="C698" s="3"/>
      <c r="E698" s="3"/>
    </row>
    <row r="699">
      <c r="C699" s="3"/>
      <c r="E699" s="3"/>
    </row>
    <row r="700">
      <c r="C700" s="3"/>
      <c r="E700" s="3"/>
    </row>
    <row r="701">
      <c r="C701" s="3"/>
      <c r="E701" s="3"/>
    </row>
    <row r="702">
      <c r="C702" s="3"/>
      <c r="E702" s="3"/>
    </row>
    <row r="703">
      <c r="C703" s="3"/>
      <c r="E703" s="3"/>
    </row>
    <row r="704">
      <c r="C704" s="3"/>
      <c r="E704" s="3"/>
    </row>
    <row r="705">
      <c r="C705" s="3"/>
      <c r="E705" s="3"/>
    </row>
    <row r="706">
      <c r="C706" s="3"/>
      <c r="E706" s="3"/>
    </row>
    <row r="707">
      <c r="C707" s="3"/>
      <c r="E707" s="3"/>
    </row>
    <row r="708">
      <c r="C708" s="3"/>
      <c r="E708" s="3"/>
    </row>
    <row r="709">
      <c r="C709" s="3"/>
      <c r="E709" s="3"/>
    </row>
    <row r="710">
      <c r="C710" s="3"/>
      <c r="E710" s="3"/>
    </row>
    <row r="711">
      <c r="C711" s="3"/>
      <c r="E711" s="3"/>
    </row>
    <row r="712">
      <c r="C712" s="3"/>
      <c r="E712" s="3"/>
    </row>
    <row r="713">
      <c r="C713" s="3"/>
      <c r="E713" s="3"/>
    </row>
    <row r="714">
      <c r="C714" s="3"/>
      <c r="E714" s="3"/>
    </row>
    <row r="715">
      <c r="C715" s="3"/>
      <c r="E715" s="3"/>
    </row>
    <row r="716">
      <c r="C716" s="3"/>
      <c r="E716" s="3"/>
    </row>
    <row r="717">
      <c r="C717" s="3"/>
      <c r="E717" s="3"/>
    </row>
    <row r="718">
      <c r="C718" s="3"/>
      <c r="E718" s="3"/>
    </row>
    <row r="719">
      <c r="C719" s="3"/>
      <c r="E719" s="3"/>
    </row>
    <row r="720">
      <c r="C720" s="3"/>
      <c r="E720" s="3"/>
    </row>
    <row r="721">
      <c r="C721" s="3"/>
      <c r="E721" s="3"/>
    </row>
    <row r="722">
      <c r="C722" s="3"/>
      <c r="E722" s="3"/>
    </row>
    <row r="723">
      <c r="C723" s="3"/>
      <c r="E723" s="3"/>
    </row>
    <row r="724">
      <c r="C724" s="3"/>
      <c r="E724" s="3"/>
    </row>
    <row r="725">
      <c r="C725" s="3"/>
      <c r="E725" s="3"/>
    </row>
    <row r="726">
      <c r="C726" s="3"/>
      <c r="E726" s="3"/>
    </row>
    <row r="727">
      <c r="C727" s="3"/>
      <c r="E727" s="3"/>
    </row>
    <row r="728">
      <c r="C728" s="3"/>
      <c r="E728" s="3"/>
    </row>
    <row r="729">
      <c r="C729" s="3"/>
      <c r="E729" s="3"/>
    </row>
    <row r="730">
      <c r="C730" s="3"/>
      <c r="E730" s="3"/>
    </row>
    <row r="731">
      <c r="C731" s="3"/>
      <c r="E731" s="3"/>
    </row>
    <row r="732">
      <c r="C732" s="3"/>
      <c r="E732" s="3"/>
    </row>
    <row r="733">
      <c r="C733" s="3"/>
      <c r="E733" s="3"/>
    </row>
    <row r="734">
      <c r="C734" s="3"/>
      <c r="E734" s="3"/>
    </row>
    <row r="735">
      <c r="C735" s="3"/>
      <c r="E735" s="3"/>
    </row>
    <row r="736">
      <c r="C736" s="3"/>
      <c r="E736" s="3"/>
    </row>
    <row r="737">
      <c r="C737" s="3"/>
      <c r="E737" s="3"/>
    </row>
    <row r="738">
      <c r="C738" s="3"/>
      <c r="E738" s="3"/>
    </row>
    <row r="739">
      <c r="C739" s="3"/>
      <c r="E739" s="3"/>
    </row>
    <row r="740">
      <c r="C740" s="3"/>
      <c r="E740" s="3"/>
    </row>
    <row r="741">
      <c r="C741" s="3"/>
      <c r="E741" s="3"/>
    </row>
    <row r="742">
      <c r="C742" s="3"/>
      <c r="E742" s="3"/>
    </row>
    <row r="743">
      <c r="C743" s="3"/>
      <c r="E743" s="3"/>
    </row>
    <row r="744">
      <c r="C744" s="3"/>
      <c r="E744" s="3"/>
    </row>
    <row r="745">
      <c r="C745" s="3"/>
      <c r="E745" s="3"/>
    </row>
    <row r="746">
      <c r="C746" s="3"/>
      <c r="E746" s="3"/>
    </row>
    <row r="747">
      <c r="C747" s="3"/>
      <c r="E747" s="3"/>
    </row>
    <row r="748">
      <c r="C748" s="3"/>
      <c r="E748" s="3"/>
    </row>
    <row r="749">
      <c r="C749" s="3"/>
      <c r="E749" s="3"/>
    </row>
    <row r="750">
      <c r="C750" s="3"/>
      <c r="E750" s="3"/>
    </row>
    <row r="751">
      <c r="C751" s="3"/>
      <c r="E751" s="3"/>
    </row>
    <row r="752">
      <c r="C752" s="3"/>
      <c r="E752" s="3"/>
    </row>
    <row r="753">
      <c r="C753" s="3"/>
      <c r="E753" s="3"/>
    </row>
    <row r="754">
      <c r="C754" s="3"/>
      <c r="E754" s="3"/>
    </row>
    <row r="755">
      <c r="C755" s="3"/>
      <c r="E755" s="3"/>
    </row>
    <row r="756">
      <c r="C756" s="3"/>
      <c r="E756" s="3"/>
    </row>
    <row r="757">
      <c r="C757" s="3"/>
      <c r="E757" s="3"/>
    </row>
    <row r="758">
      <c r="C758" s="3"/>
      <c r="E758" s="3"/>
    </row>
    <row r="759">
      <c r="C759" s="3"/>
      <c r="E759" s="3"/>
    </row>
    <row r="760">
      <c r="C760" s="3"/>
      <c r="E760" s="3"/>
    </row>
    <row r="761">
      <c r="C761" s="3"/>
      <c r="E761" s="3"/>
    </row>
    <row r="762">
      <c r="C762" s="3"/>
      <c r="E762" s="3"/>
    </row>
    <row r="763">
      <c r="C763" s="3"/>
      <c r="E763" s="3"/>
    </row>
    <row r="764">
      <c r="C764" s="3"/>
      <c r="E764" s="3"/>
    </row>
    <row r="765">
      <c r="C765" s="3"/>
      <c r="E765" s="3"/>
    </row>
    <row r="766">
      <c r="C766" s="3"/>
      <c r="E766" s="3"/>
    </row>
    <row r="767">
      <c r="C767" s="3"/>
      <c r="E767" s="3"/>
    </row>
    <row r="768">
      <c r="C768" s="3"/>
      <c r="E768" s="3"/>
    </row>
    <row r="769">
      <c r="C769" s="3"/>
      <c r="E769" s="3"/>
    </row>
    <row r="770">
      <c r="C770" s="3"/>
      <c r="E770" s="3"/>
    </row>
    <row r="771">
      <c r="C771" s="3"/>
      <c r="E771" s="3"/>
    </row>
    <row r="772">
      <c r="C772" s="3"/>
      <c r="E772" s="3"/>
    </row>
    <row r="773">
      <c r="C773" s="3"/>
      <c r="E773" s="3"/>
    </row>
    <row r="774">
      <c r="C774" s="3"/>
      <c r="E774" s="3"/>
    </row>
    <row r="775">
      <c r="C775" s="3"/>
      <c r="E775" s="3"/>
    </row>
    <row r="776">
      <c r="C776" s="3"/>
      <c r="E776" s="3"/>
    </row>
    <row r="777">
      <c r="C777" s="3"/>
      <c r="E777" s="3"/>
    </row>
    <row r="778">
      <c r="C778" s="3"/>
      <c r="E778" s="3"/>
    </row>
    <row r="779">
      <c r="C779" s="3"/>
      <c r="E779" s="3"/>
    </row>
    <row r="780">
      <c r="C780" s="3"/>
      <c r="E780" s="3"/>
    </row>
    <row r="781">
      <c r="C781" s="3"/>
      <c r="E781" s="3"/>
    </row>
    <row r="782">
      <c r="C782" s="3"/>
      <c r="E782" s="3"/>
    </row>
    <row r="783">
      <c r="C783" s="3"/>
      <c r="E783" s="3"/>
    </row>
    <row r="784">
      <c r="C784" s="3"/>
      <c r="E784" s="3"/>
    </row>
    <row r="785">
      <c r="C785" s="3"/>
      <c r="E785" s="3"/>
    </row>
    <row r="786">
      <c r="C786" s="3"/>
      <c r="E786" s="3"/>
    </row>
    <row r="787">
      <c r="C787" s="3"/>
      <c r="E787" s="3"/>
    </row>
    <row r="788">
      <c r="C788" s="3"/>
      <c r="E788" s="3"/>
    </row>
    <row r="789">
      <c r="C789" s="3"/>
      <c r="E789" s="3"/>
    </row>
    <row r="790">
      <c r="C790" s="3"/>
      <c r="E790" s="3"/>
    </row>
    <row r="791">
      <c r="C791" s="3"/>
      <c r="E791" s="3"/>
    </row>
    <row r="792">
      <c r="C792" s="3"/>
      <c r="E792" s="3"/>
    </row>
    <row r="793">
      <c r="C793" s="3"/>
      <c r="E793" s="3"/>
    </row>
    <row r="794">
      <c r="C794" s="3"/>
      <c r="E794" s="3"/>
    </row>
    <row r="795">
      <c r="C795" s="3"/>
      <c r="E795" s="3"/>
    </row>
    <row r="796">
      <c r="C796" s="3"/>
      <c r="E796" s="3"/>
    </row>
    <row r="797">
      <c r="C797" s="3"/>
      <c r="E797" s="3"/>
    </row>
    <row r="798">
      <c r="C798" s="3"/>
      <c r="E798" s="3"/>
    </row>
    <row r="799">
      <c r="C799" s="3"/>
      <c r="E799" s="3"/>
    </row>
    <row r="800">
      <c r="C800" s="3"/>
      <c r="E800" s="3"/>
    </row>
    <row r="801">
      <c r="C801" s="3"/>
      <c r="E801" s="3"/>
    </row>
    <row r="802">
      <c r="C802" s="3"/>
      <c r="E802" s="3"/>
    </row>
    <row r="803">
      <c r="C803" s="3"/>
      <c r="E803" s="3"/>
    </row>
    <row r="804">
      <c r="C804" s="3"/>
      <c r="E804" s="3"/>
    </row>
    <row r="805">
      <c r="C805" s="3"/>
      <c r="E805" s="3"/>
    </row>
    <row r="806">
      <c r="C806" s="3"/>
      <c r="E806" s="3"/>
    </row>
    <row r="807">
      <c r="C807" s="3"/>
      <c r="E807" s="3"/>
    </row>
    <row r="808">
      <c r="C808" s="3"/>
      <c r="E808" s="3"/>
    </row>
    <row r="809">
      <c r="C809" s="3"/>
      <c r="E809" s="3"/>
    </row>
    <row r="810">
      <c r="C810" s="3"/>
      <c r="E810" s="3"/>
    </row>
    <row r="811">
      <c r="C811" s="3"/>
      <c r="E811" s="3"/>
    </row>
    <row r="812">
      <c r="C812" s="3"/>
      <c r="E812" s="3"/>
    </row>
    <row r="813">
      <c r="C813" s="3"/>
      <c r="E813" s="3"/>
    </row>
    <row r="814">
      <c r="C814" s="3"/>
      <c r="E814" s="3"/>
    </row>
    <row r="815">
      <c r="C815" s="3"/>
      <c r="E815" s="3"/>
    </row>
    <row r="816">
      <c r="C816" s="3"/>
      <c r="E816" s="3"/>
    </row>
    <row r="817">
      <c r="C817" s="3"/>
      <c r="E817" s="3"/>
    </row>
    <row r="818">
      <c r="C818" s="3"/>
      <c r="E818" s="3"/>
    </row>
    <row r="819">
      <c r="C819" s="3"/>
      <c r="E819" s="3"/>
    </row>
    <row r="820">
      <c r="C820" s="3"/>
      <c r="E820" s="3"/>
    </row>
    <row r="821">
      <c r="C821" s="3"/>
      <c r="E821" s="3"/>
    </row>
    <row r="822">
      <c r="C822" s="3"/>
      <c r="E822" s="3"/>
    </row>
    <row r="823">
      <c r="C823" s="3"/>
      <c r="E823" s="3"/>
    </row>
    <row r="824">
      <c r="C824" s="3"/>
      <c r="E824" s="3"/>
    </row>
    <row r="825">
      <c r="C825" s="3"/>
      <c r="E825" s="3"/>
    </row>
    <row r="826">
      <c r="C826" s="3"/>
      <c r="E826" s="3"/>
    </row>
    <row r="827">
      <c r="C827" s="3"/>
      <c r="E827" s="3"/>
    </row>
    <row r="828">
      <c r="C828" s="3"/>
      <c r="E828" s="3"/>
    </row>
    <row r="829">
      <c r="C829" s="3"/>
      <c r="E829" s="3"/>
    </row>
    <row r="830">
      <c r="C830" s="3"/>
      <c r="E830" s="3"/>
    </row>
    <row r="831">
      <c r="C831" s="3"/>
      <c r="E831" s="3"/>
    </row>
    <row r="832">
      <c r="C832" s="3"/>
      <c r="E832" s="3"/>
    </row>
    <row r="833">
      <c r="C833" s="3"/>
      <c r="E833" s="3"/>
    </row>
    <row r="834">
      <c r="C834" s="3"/>
      <c r="E834" s="3"/>
    </row>
    <row r="835">
      <c r="C835" s="3"/>
      <c r="E835" s="3"/>
    </row>
    <row r="836">
      <c r="C836" s="3"/>
      <c r="E836" s="3"/>
    </row>
    <row r="837">
      <c r="C837" s="3"/>
      <c r="E837" s="3"/>
    </row>
    <row r="838">
      <c r="C838" s="3"/>
      <c r="E838" s="3"/>
    </row>
    <row r="839">
      <c r="C839" s="3"/>
      <c r="E839" s="3"/>
    </row>
    <row r="840">
      <c r="C840" s="3"/>
      <c r="E840" s="3"/>
    </row>
    <row r="841">
      <c r="C841" s="3"/>
      <c r="E841" s="3"/>
    </row>
    <row r="842">
      <c r="C842" s="3"/>
      <c r="E842" s="3"/>
    </row>
    <row r="843">
      <c r="C843" s="3"/>
      <c r="E843" s="3"/>
    </row>
    <row r="844">
      <c r="C844" s="3"/>
      <c r="E844" s="3"/>
    </row>
    <row r="845">
      <c r="C845" s="3"/>
      <c r="E845" s="3"/>
    </row>
    <row r="846">
      <c r="C846" s="3"/>
      <c r="E846" s="3"/>
    </row>
    <row r="847">
      <c r="C847" s="3"/>
      <c r="E847" s="3"/>
    </row>
    <row r="848">
      <c r="C848" s="3"/>
      <c r="E848" s="3"/>
    </row>
    <row r="849">
      <c r="C849" s="3"/>
      <c r="E849" s="3"/>
    </row>
    <row r="850">
      <c r="C850" s="3"/>
      <c r="E850" s="3"/>
    </row>
    <row r="851">
      <c r="C851" s="3"/>
      <c r="E851" s="3"/>
    </row>
    <row r="852">
      <c r="C852" s="3"/>
      <c r="E852" s="3"/>
    </row>
    <row r="853">
      <c r="C853" s="3"/>
      <c r="E853" s="3"/>
    </row>
    <row r="854">
      <c r="C854" s="3"/>
      <c r="E854" s="3"/>
    </row>
    <row r="855">
      <c r="C855" s="3"/>
      <c r="E855" s="3"/>
    </row>
    <row r="856">
      <c r="C856" s="3"/>
      <c r="E856" s="3"/>
    </row>
    <row r="857">
      <c r="C857" s="3"/>
      <c r="E857" s="3"/>
    </row>
    <row r="858">
      <c r="C858" s="3"/>
      <c r="E858" s="3"/>
    </row>
    <row r="859">
      <c r="C859" s="3"/>
      <c r="E859" s="3"/>
    </row>
    <row r="860">
      <c r="C860" s="3"/>
      <c r="E860" s="3"/>
    </row>
    <row r="861">
      <c r="C861" s="3"/>
      <c r="E861" s="3"/>
    </row>
    <row r="862">
      <c r="C862" s="3"/>
      <c r="E862" s="3"/>
    </row>
    <row r="863">
      <c r="C863" s="3"/>
      <c r="E863" s="3"/>
    </row>
    <row r="864">
      <c r="C864" s="3"/>
      <c r="E864" s="3"/>
    </row>
    <row r="865">
      <c r="C865" s="3"/>
      <c r="E865" s="3"/>
    </row>
    <row r="866">
      <c r="C866" s="3"/>
      <c r="E866" s="3"/>
    </row>
    <row r="867">
      <c r="C867" s="3"/>
      <c r="E867" s="3"/>
    </row>
    <row r="868">
      <c r="C868" s="3"/>
      <c r="E868" s="3"/>
    </row>
    <row r="869">
      <c r="C869" s="3"/>
      <c r="E869" s="3"/>
    </row>
    <row r="870">
      <c r="C870" s="3"/>
      <c r="E870" s="3"/>
    </row>
    <row r="871">
      <c r="C871" s="3"/>
      <c r="E871" s="3"/>
    </row>
    <row r="872">
      <c r="C872" s="3"/>
      <c r="E872" s="3"/>
    </row>
    <row r="873">
      <c r="C873" s="3"/>
      <c r="E873" s="3"/>
    </row>
    <row r="874">
      <c r="C874" s="3"/>
      <c r="E874" s="3"/>
    </row>
    <row r="875">
      <c r="C875" s="3"/>
      <c r="E875" s="3"/>
    </row>
    <row r="876">
      <c r="C876" s="3"/>
      <c r="E876" s="3"/>
    </row>
    <row r="877">
      <c r="C877" s="3"/>
      <c r="E877" s="3"/>
    </row>
    <row r="878">
      <c r="C878" s="3"/>
      <c r="E878" s="3"/>
    </row>
    <row r="879">
      <c r="C879" s="3"/>
      <c r="E879" s="3"/>
    </row>
    <row r="880">
      <c r="C880" s="3"/>
      <c r="E880" s="3"/>
    </row>
    <row r="881">
      <c r="C881" s="3"/>
      <c r="E881" s="3"/>
    </row>
    <row r="882">
      <c r="C882" s="3"/>
      <c r="E882" s="3"/>
    </row>
    <row r="883">
      <c r="C883" s="3"/>
      <c r="E883" s="3"/>
    </row>
    <row r="884">
      <c r="C884" s="3"/>
      <c r="E884" s="3"/>
    </row>
    <row r="885">
      <c r="C885" s="3"/>
      <c r="E885" s="3"/>
    </row>
    <row r="886">
      <c r="C886" s="3"/>
      <c r="E886" s="3"/>
    </row>
    <row r="887">
      <c r="C887" s="3"/>
      <c r="E887" s="3"/>
    </row>
    <row r="888">
      <c r="C888" s="3"/>
      <c r="E888" s="3"/>
    </row>
    <row r="889">
      <c r="C889" s="3"/>
      <c r="E889" s="3"/>
    </row>
    <row r="890">
      <c r="C890" s="3"/>
      <c r="E890" s="3"/>
    </row>
    <row r="891">
      <c r="C891" s="3"/>
      <c r="E891" s="3"/>
    </row>
    <row r="892">
      <c r="C892" s="3"/>
      <c r="E892" s="3"/>
    </row>
    <row r="893">
      <c r="C893" s="3"/>
      <c r="E893" s="3"/>
    </row>
    <row r="894">
      <c r="C894" s="3"/>
      <c r="E894" s="3"/>
    </row>
    <row r="895">
      <c r="C895" s="3"/>
      <c r="E895" s="3"/>
    </row>
    <row r="896">
      <c r="C896" s="3"/>
      <c r="E896" s="3"/>
    </row>
    <row r="897">
      <c r="C897" s="3"/>
      <c r="E897" s="3"/>
    </row>
    <row r="898">
      <c r="C898" s="3"/>
      <c r="E898" s="3"/>
    </row>
    <row r="899">
      <c r="C899" s="3"/>
      <c r="E899" s="3"/>
    </row>
    <row r="900">
      <c r="C900" s="3"/>
      <c r="E900" s="3"/>
    </row>
    <row r="901">
      <c r="C901" s="3"/>
      <c r="E901" s="3"/>
    </row>
    <row r="902">
      <c r="C902" s="3"/>
      <c r="E902" s="3"/>
    </row>
    <row r="903">
      <c r="C903" s="3"/>
      <c r="E903" s="3"/>
    </row>
    <row r="904">
      <c r="C904" s="3"/>
      <c r="E904" s="3"/>
    </row>
    <row r="905">
      <c r="C905" s="3"/>
      <c r="E905" s="3"/>
    </row>
    <row r="906">
      <c r="C906" s="3"/>
      <c r="E906" s="3"/>
    </row>
    <row r="907">
      <c r="C907" s="3"/>
      <c r="E907" s="3"/>
    </row>
    <row r="908">
      <c r="C908" s="3"/>
      <c r="E908" s="3"/>
    </row>
    <row r="909">
      <c r="C909" s="3"/>
      <c r="E909" s="3"/>
    </row>
    <row r="910">
      <c r="C910" s="3"/>
      <c r="E910" s="3"/>
    </row>
    <row r="911">
      <c r="C911" s="3"/>
      <c r="E911" s="3"/>
    </row>
    <row r="912">
      <c r="C912" s="3"/>
      <c r="E912" s="3"/>
    </row>
    <row r="913">
      <c r="C913" s="3"/>
      <c r="E913" s="3"/>
    </row>
    <row r="914">
      <c r="C914" s="3"/>
      <c r="E914" s="3"/>
    </row>
    <row r="915">
      <c r="C915" s="3"/>
      <c r="E915" s="3"/>
    </row>
    <row r="916">
      <c r="C916" s="3"/>
      <c r="E916" s="3"/>
    </row>
    <row r="917">
      <c r="C917" s="3"/>
      <c r="E917" s="3"/>
    </row>
    <row r="918">
      <c r="C918" s="3"/>
      <c r="E918" s="3"/>
    </row>
    <row r="919">
      <c r="C919" s="3"/>
      <c r="E919" s="3"/>
    </row>
    <row r="920">
      <c r="C920" s="3"/>
      <c r="E920" s="3"/>
    </row>
    <row r="921">
      <c r="C921" s="3"/>
      <c r="E921" s="3"/>
    </row>
    <row r="922">
      <c r="C922" s="3"/>
      <c r="E922" s="3"/>
    </row>
    <row r="923">
      <c r="C923" s="3"/>
      <c r="E923" s="3"/>
    </row>
    <row r="924">
      <c r="C924" s="3"/>
      <c r="E924" s="3"/>
    </row>
    <row r="925">
      <c r="C925" s="3"/>
      <c r="E925" s="3"/>
    </row>
    <row r="926">
      <c r="C926" s="3"/>
      <c r="E926" s="3"/>
    </row>
    <row r="927">
      <c r="C927" s="3"/>
      <c r="E927" s="3"/>
    </row>
    <row r="928">
      <c r="C928" s="3"/>
      <c r="E928" s="3"/>
    </row>
    <row r="929">
      <c r="C929" s="3"/>
      <c r="E929" s="3"/>
    </row>
    <row r="930">
      <c r="C930" s="3"/>
      <c r="E930" s="3"/>
    </row>
    <row r="931">
      <c r="C931" s="3"/>
      <c r="E931" s="3"/>
    </row>
    <row r="932">
      <c r="C932" s="3"/>
      <c r="E932" s="3"/>
    </row>
    <row r="933">
      <c r="C933" s="3"/>
      <c r="E933" s="3"/>
    </row>
    <row r="934">
      <c r="C934" s="3"/>
      <c r="E934" s="3"/>
    </row>
    <row r="935">
      <c r="C935" s="3"/>
      <c r="E935" s="3"/>
    </row>
    <row r="936">
      <c r="C936" s="3"/>
      <c r="E936" s="3"/>
    </row>
    <row r="937">
      <c r="C937" s="3"/>
      <c r="E937" s="3"/>
    </row>
    <row r="938">
      <c r="C938" s="3"/>
      <c r="E938" s="3"/>
    </row>
    <row r="939">
      <c r="C939" s="3"/>
      <c r="E939" s="3"/>
    </row>
    <row r="940">
      <c r="C940" s="3"/>
      <c r="E940" s="3"/>
    </row>
    <row r="941">
      <c r="C941" s="3"/>
      <c r="E941" s="3"/>
    </row>
    <row r="942">
      <c r="C942" s="3"/>
      <c r="E942" s="3"/>
    </row>
    <row r="943">
      <c r="C943" s="3"/>
      <c r="E943" s="3"/>
    </row>
    <row r="944">
      <c r="C944" s="3"/>
      <c r="E944" s="3"/>
    </row>
    <row r="945">
      <c r="C945" s="3"/>
      <c r="E945" s="3"/>
    </row>
    <row r="946">
      <c r="C946" s="3"/>
      <c r="E946" s="3"/>
    </row>
    <row r="947">
      <c r="C947" s="3"/>
      <c r="E947" s="3"/>
    </row>
    <row r="948">
      <c r="C948" s="3"/>
      <c r="E948" s="3"/>
    </row>
    <row r="949">
      <c r="C949" s="3"/>
      <c r="E949" s="3"/>
    </row>
    <row r="950">
      <c r="C950" s="3"/>
      <c r="E950" s="3"/>
    </row>
    <row r="951">
      <c r="C951" s="3"/>
      <c r="E951" s="3"/>
    </row>
    <row r="952">
      <c r="C952" s="3"/>
      <c r="E952" s="3"/>
    </row>
    <row r="953">
      <c r="C953" s="3"/>
      <c r="E953" s="3"/>
    </row>
    <row r="954">
      <c r="C954" s="3"/>
      <c r="E954" s="3"/>
    </row>
    <row r="955">
      <c r="C955" s="3"/>
      <c r="E955" s="3"/>
    </row>
    <row r="956">
      <c r="C956" s="3"/>
      <c r="E956" s="3"/>
    </row>
    <row r="957">
      <c r="C957" s="3"/>
      <c r="E957" s="3"/>
    </row>
    <row r="958">
      <c r="C958" s="3"/>
      <c r="E958" s="3"/>
    </row>
    <row r="959">
      <c r="C959" s="3"/>
      <c r="E959" s="3"/>
    </row>
    <row r="960">
      <c r="C960" s="3"/>
      <c r="E960" s="3"/>
    </row>
    <row r="961">
      <c r="C961" s="3"/>
      <c r="E961" s="3"/>
    </row>
    <row r="962">
      <c r="C962" s="3"/>
      <c r="E962" s="3"/>
    </row>
    <row r="963">
      <c r="C963" s="3"/>
      <c r="E963" s="3"/>
    </row>
    <row r="964">
      <c r="C964" s="3"/>
      <c r="E964" s="3"/>
    </row>
    <row r="965">
      <c r="C965" s="3"/>
      <c r="E965" s="3"/>
    </row>
    <row r="966">
      <c r="C966" s="3"/>
      <c r="E966" s="3"/>
    </row>
    <row r="967">
      <c r="C967" s="3"/>
      <c r="E967" s="3"/>
    </row>
    <row r="968">
      <c r="C968" s="3"/>
      <c r="E968" s="3"/>
    </row>
    <row r="969">
      <c r="C969" s="3"/>
      <c r="E969" s="3"/>
    </row>
    <row r="970">
      <c r="C970" s="3"/>
      <c r="E970" s="3"/>
    </row>
    <row r="971">
      <c r="C971" s="3"/>
      <c r="E971" s="3"/>
    </row>
    <row r="972">
      <c r="C972" s="3"/>
      <c r="E972" s="3"/>
    </row>
    <row r="973">
      <c r="C973" s="3"/>
      <c r="E973" s="3"/>
    </row>
    <row r="974">
      <c r="C974" s="3"/>
      <c r="E974" s="3"/>
    </row>
    <row r="975">
      <c r="C975" s="3"/>
      <c r="E975" s="3"/>
    </row>
    <row r="976">
      <c r="C976" s="3"/>
      <c r="E976" s="3"/>
    </row>
    <row r="977">
      <c r="C977" s="3"/>
      <c r="E977" s="3"/>
    </row>
    <row r="978">
      <c r="C978" s="3"/>
      <c r="E978" s="3"/>
    </row>
    <row r="979">
      <c r="C979" s="3"/>
      <c r="E979" s="3"/>
    </row>
    <row r="980">
      <c r="C980" s="3"/>
      <c r="E980" s="3"/>
    </row>
    <row r="981">
      <c r="C981" s="3"/>
      <c r="E981" s="3"/>
    </row>
    <row r="982">
      <c r="C982" s="3"/>
      <c r="E982" s="3"/>
    </row>
    <row r="983">
      <c r="C983" s="3"/>
      <c r="E983" s="3"/>
    </row>
    <row r="984">
      <c r="C984" s="3"/>
      <c r="E984" s="3"/>
    </row>
    <row r="985">
      <c r="C985" s="3"/>
      <c r="E985" s="3"/>
    </row>
    <row r="986">
      <c r="C986" s="3"/>
      <c r="E986" s="3"/>
    </row>
    <row r="987">
      <c r="C987" s="3"/>
      <c r="E987" s="3"/>
    </row>
    <row r="988">
      <c r="C988" s="3"/>
      <c r="E988" s="3"/>
    </row>
    <row r="989">
      <c r="C989" s="3"/>
      <c r="E989" s="3"/>
    </row>
    <row r="990">
      <c r="C990" s="3"/>
      <c r="E990" s="3"/>
    </row>
    <row r="991">
      <c r="C991" s="3"/>
      <c r="E991" s="3"/>
    </row>
    <row r="992">
      <c r="C992" s="3"/>
      <c r="E992" s="3"/>
    </row>
    <row r="993">
      <c r="C993" s="3"/>
      <c r="E993" s="3"/>
    </row>
    <row r="994">
      <c r="C994" s="3"/>
      <c r="E994" s="3"/>
    </row>
    <row r="995">
      <c r="C995" s="3"/>
      <c r="E995" s="3"/>
    </row>
    <row r="996">
      <c r="C996" s="3"/>
      <c r="E996" s="3"/>
    </row>
    <row r="997">
      <c r="C997" s="3"/>
      <c r="E997" s="3"/>
    </row>
    <row r="998">
      <c r="C998" s="3"/>
      <c r="E998" s="3"/>
    </row>
    <row r="999">
      <c r="C999" s="3"/>
      <c r="E999" s="3"/>
    </row>
    <row r="1000">
      <c r="C1000" s="3"/>
      <c r="E1000" s="3"/>
    </row>
    <row r="1001">
      <c r="C1001" s="3"/>
      <c r="E1001" s="3"/>
    </row>
    <row r="1002">
      <c r="C1002" s="3"/>
      <c r="E1002" s="3"/>
    </row>
    <row r="1003">
      <c r="C1003" s="3"/>
      <c r="E1003" s="3"/>
    </row>
    <row r="1004">
      <c r="C1004" s="3"/>
      <c r="E1004" s="3"/>
    </row>
    <row r="1005">
      <c r="C1005" s="3"/>
      <c r="E1005" s="3"/>
    </row>
    <row r="1006">
      <c r="C1006" s="3"/>
      <c r="E1006" s="3"/>
    </row>
    <row r="1007">
      <c r="C1007" s="3"/>
      <c r="E1007" s="3"/>
    </row>
    <row r="1008">
      <c r="C1008" s="3"/>
      <c r="E1008" s="3"/>
    </row>
    <row r="1009">
      <c r="C1009" s="3"/>
      <c r="E1009" s="3"/>
    </row>
    <row r="1010">
      <c r="C1010" s="3"/>
      <c r="E1010" s="3"/>
    </row>
    <row r="1011">
      <c r="C1011" s="3"/>
      <c r="E1011" s="3"/>
    </row>
    <row r="1012">
      <c r="C1012" s="3"/>
      <c r="E1012" s="3"/>
    </row>
    <row r="1013">
      <c r="C1013" s="3"/>
      <c r="E1013" s="3"/>
    </row>
    <row r="1014">
      <c r="C1014" s="3"/>
      <c r="E1014" s="3"/>
    </row>
    <row r="1015">
      <c r="C1015" s="3"/>
      <c r="E1015" s="3"/>
    </row>
    <row r="1016">
      <c r="C1016" s="3"/>
      <c r="E1016" s="3"/>
    </row>
  </sheetData>
  <autoFilter ref="$A$1:$K$70"/>
  <conditionalFormatting sqref="D3:D70">
    <cfRule type="notContainsBlanks" dxfId="0" priority="1">
      <formula>LEN(TRIM(D3))&gt;0</formula>
    </cfRule>
  </conditionalFormatting>
  <dataValidations>
    <dataValidation type="list" allowBlank="1" showErrorMessage="1" sqref="E3:E70">
      <formula1>"база данных,интеграция с ВК,интеграция с платежной системой,автоматические уведомления без сложной логики,AI-аналитика,администрирование,эскалация,интеграция с ТГ"</formula1>
    </dataValidation>
    <dataValidation type="list" allowBlank="1" showErrorMessage="1" sqref="D3:D70">
      <formula1>"must - база ,unic - фишка ,features - масштабирование,excite - восторг,eco - экосистема,неизвестно"</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25"/>
    <col customWidth="1" min="2" max="2" width="16.75"/>
    <col customWidth="1" min="3" max="3" width="80.0"/>
    <col customWidth="1" min="4" max="4" width="17.38"/>
    <col customWidth="1" min="5" max="5" width="25.38"/>
    <col customWidth="1" min="6" max="6" width="34.38"/>
    <col customWidth="1" min="7" max="7" width="28.88"/>
    <col customWidth="1" min="8" max="8" width="18.25"/>
    <col customWidth="1" min="9" max="9" width="27.38"/>
    <col customWidth="1" min="10" max="11" width="34.0"/>
    <col customWidth="1" min="12" max="12" width="24.38"/>
  </cols>
  <sheetData>
    <row r="1" ht="24.75" customHeight="1">
      <c r="A1" s="1" t="s">
        <v>64</v>
      </c>
      <c r="B1" s="1" t="s">
        <v>9</v>
      </c>
      <c r="C1" s="1" t="s">
        <v>10</v>
      </c>
      <c r="D1" s="1" t="s">
        <v>11</v>
      </c>
      <c r="E1" s="1" t="s">
        <v>65</v>
      </c>
      <c r="F1" s="1" t="s">
        <v>66</v>
      </c>
      <c r="G1" s="1" t="s">
        <v>67</v>
      </c>
      <c r="H1" s="1" t="s">
        <v>14</v>
      </c>
      <c r="I1" s="1" t="s">
        <v>15</v>
      </c>
      <c r="J1" s="1" t="s">
        <v>16</v>
      </c>
      <c r="K1" s="1" t="s">
        <v>17</v>
      </c>
      <c r="L1" s="1" t="s">
        <v>68</v>
      </c>
      <c r="M1" s="3"/>
      <c r="N1" s="3"/>
      <c r="O1" s="3"/>
      <c r="P1" s="3"/>
      <c r="Q1" s="3"/>
      <c r="R1" s="3"/>
      <c r="S1" s="3"/>
      <c r="T1" s="3"/>
      <c r="U1" s="3"/>
      <c r="V1" s="3"/>
      <c r="W1" s="3"/>
      <c r="X1" s="3"/>
      <c r="Y1" s="3"/>
      <c r="Z1" s="3"/>
      <c r="AA1" s="3"/>
      <c r="AB1" s="3"/>
      <c r="AC1" s="3"/>
    </row>
    <row r="2">
      <c r="A2" s="37" t="s">
        <v>9</v>
      </c>
      <c r="B2" s="6" t="s">
        <v>10</v>
      </c>
      <c r="C2" s="6" t="s">
        <v>11</v>
      </c>
      <c r="D2" s="6" t="s">
        <v>69</v>
      </c>
      <c r="E2" s="6"/>
      <c r="F2" s="6" t="s">
        <v>12</v>
      </c>
      <c r="G2" s="6" t="s">
        <v>13</v>
      </c>
      <c r="H2" s="6" t="s">
        <v>14</v>
      </c>
      <c r="I2" s="6" t="s">
        <v>15</v>
      </c>
      <c r="J2" s="6" t="s">
        <v>16</v>
      </c>
      <c r="K2" s="6" t="s">
        <v>17</v>
      </c>
      <c r="L2" s="38" t="s">
        <v>19</v>
      </c>
      <c r="M2" s="3"/>
      <c r="N2" s="3"/>
      <c r="O2" s="3"/>
      <c r="P2" s="3"/>
      <c r="Q2" s="3"/>
      <c r="R2" s="3"/>
      <c r="S2" s="3"/>
      <c r="T2" s="3"/>
      <c r="U2" s="3"/>
      <c r="V2" s="3"/>
      <c r="W2" s="3"/>
      <c r="X2" s="3"/>
      <c r="Y2" s="3"/>
      <c r="Z2" s="3"/>
      <c r="AA2" s="3"/>
      <c r="AB2" s="3"/>
      <c r="AC2" s="3"/>
    </row>
    <row r="3">
      <c r="A3" s="39" t="s">
        <v>70</v>
      </c>
      <c r="B3" s="40" t="s">
        <v>71</v>
      </c>
      <c r="C3" s="40" t="s">
        <v>72</v>
      </c>
      <c r="D3" s="40"/>
      <c r="E3" s="40"/>
      <c r="F3" s="40"/>
      <c r="G3" s="40"/>
      <c r="H3" s="40"/>
      <c r="I3" s="40"/>
      <c r="J3" s="40"/>
      <c r="K3" s="40"/>
      <c r="L3" s="41"/>
      <c r="M3" s="3"/>
      <c r="N3" s="3"/>
      <c r="O3" s="3"/>
      <c r="P3" s="3"/>
      <c r="Q3" s="3"/>
      <c r="R3" s="3"/>
      <c r="S3" s="3"/>
      <c r="T3" s="3"/>
      <c r="U3" s="3"/>
      <c r="V3" s="3"/>
      <c r="W3" s="3"/>
      <c r="X3" s="3"/>
      <c r="Y3" s="3"/>
      <c r="Z3" s="3"/>
      <c r="AA3" s="3"/>
      <c r="AB3" s="3"/>
      <c r="AC3" s="3"/>
    </row>
    <row r="4">
      <c r="A4" s="39" t="s">
        <v>70</v>
      </c>
      <c r="B4" s="40" t="s">
        <v>20</v>
      </c>
      <c r="C4" s="40" t="s">
        <v>73</v>
      </c>
      <c r="D4" s="40"/>
      <c r="E4" s="40"/>
      <c r="F4" s="40"/>
      <c r="G4" s="40"/>
      <c r="H4" s="40"/>
      <c r="I4" s="40"/>
      <c r="J4" s="40"/>
      <c r="K4" s="40"/>
      <c r="L4" s="41"/>
      <c r="M4" s="3"/>
      <c r="N4" s="3"/>
      <c r="O4" s="3"/>
      <c r="P4" s="3"/>
      <c r="Q4" s="3"/>
      <c r="R4" s="3"/>
      <c r="S4" s="3"/>
      <c r="T4" s="3"/>
      <c r="U4" s="3"/>
      <c r="V4" s="3"/>
      <c r="W4" s="3"/>
      <c r="X4" s="3"/>
      <c r="Y4" s="3"/>
      <c r="Z4" s="3"/>
      <c r="AA4" s="3"/>
      <c r="AB4" s="3"/>
      <c r="AC4" s="3"/>
    </row>
    <row r="5">
      <c r="A5" s="39" t="s">
        <v>70</v>
      </c>
      <c r="B5" s="40" t="s">
        <v>20</v>
      </c>
      <c r="C5" s="40" t="s">
        <v>74</v>
      </c>
      <c r="D5" s="40"/>
      <c r="E5" s="40"/>
      <c r="F5" s="40"/>
      <c r="G5" s="40"/>
      <c r="H5" s="40"/>
      <c r="I5" s="40"/>
      <c r="J5" s="40"/>
      <c r="K5" s="40"/>
      <c r="L5" s="41"/>
      <c r="M5" s="3"/>
      <c r="N5" s="3"/>
      <c r="O5" s="3"/>
      <c r="P5" s="3"/>
      <c r="Q5" s="3"/>
      <c r="R5" s="3"/>
      <c r="S5" s="3"/>
      <c r="T5" s="3"/>
      <c r="U5" s="3"/>
      <c r="V5" s="3"/>
      <c r="W5" s="3"/>
      <c r="X5" s="3"/>
      <c r="Y5" s="3"/>
      <c r="Z5" s="3"/>
      <c r="AA5" s="3"/>
      <c r="AB5" s="3"/>
      <c r="AC5" s="3"/>
    </row>
    <row r="6">
      <c r="A6" s="39"/>
      <c r="B6" s="40" t="s">
        <v>20</v>
      </c>
      <c r="C6" s="42" t="s">
        <v>75</v>
      </c>
      <c r="D6" s="40"/>
      <c r="E6" s="40"/>
      <c r="F6" s="40"/>
      <c r="G6" s="40"/>
      <c r="H6" s="40"/>
      <c r="I6" s="40"/>
      <c r="J6" s="40"/>
      <c r="K6" s="40"/>
      <c r="L6" s="41"/>
      <c r="M6" s="3"/>
      <c r="N6" s="3"/>
      <c r="O6" s="3"/>
      <c r="P6" s="3"/>
      <c r="Q6" s="3"/>
      <c r="R6" s="3"/>
      <c r="S6" s="3"/>
      <c r="T6" s="3"/>
      <c r="U6" s="3"/>
      <c r="V6" s="3"/>
      <c r="W6" s="3"/>
      <c r="X6" s="3"/>
      <c r="Y6" s="3"/>
      <c r="Z6" s="3"/>
      <c r="AA6" s="3"/>
      <c r="AB6" s="3"/>
      <c r="AC6" s="3"/>
    </row>
    <row r="7">
      <c r="A7" s="39" t="s">
        <v>70</v>
      </c>
      <c r="B7" s="42" t="s">
        <v>71</v>
      </c>
      <c r="C7" s="42" t="s">
        <v>76</v>
      </c>
      <c r="D7" s="40"/>
      <c r="E7" s="40"/>
      <c r="F7" s="40"/>
      <c r="G7" s="40"/>
      <c r="H7" s="40"/>
      <c r="I7" s="40"/>
      <c r="J7" s="40"/>
      <c r="K7" s="40"/>
      <c r="L7" s="41"/>
      <c r="M7" s="3"/>
      <c r="N7" s="3"/>
      <c r="O7" s="3"/>
      <c r="P7" s="3"/>
      <c r="Q7" s="3"/>
      <c r="R7" s="3"/>
      <c r="S7" s="3"/>
      <c r="T7" s="3"/>
      <c r="U7" s="3"/>
      <c r="V7" s="3"/>
      <c r="W7" s="3"/>
      <c r="X7" s="3"/>
      <c r="Y7" s="3"/>
      <c r="Z7" s="3"/>
      <c r="AA7" s="3"/>
      <c r="AB7" s="3"/>
      <c r="AC7" s="3"/>
    </row>
    <row r="8">
      <c r="A8" s="39" t="s">
        <v>70</v>
      </c>
      <c r="B8" s="42" t="s">
        <v>71</v>
      </c>
      <c r="C8" s="42" t="s">
        <v>77</v>
      </c>
      <c r="D8" s="40"/>
      <c r="E8" s="40"/>
      <c r="F8" s="40"/>
      <c r="G8" s="40"/>
      <c r="H8" s="40"/>
      <c r="I8" s="40"/>
      <c r="J8" s="40"/>
      <c r="K8" s="40"/>
      <c r="L8" s="41"/>
      <c r="M8" s="3"/>
      <c r="N8" s="3"/>
      <c r="O8" s="3"/>
      <c r="P8" s="3"/>
      <c r="Q8" s="3"/>
      <c r="R8" s="3"/>
      <c r="S8" s="3"/>
      <c r="T8" s="3"/>
      <c r="U8" s="3"/>
      <c r="V8" s="3"/>
      <c r="W8" s="3"/>
      <c r="X8" s="3"/>
      <c r="Y8" s="3"/>
      <c r="Z8" s="3"/>
      <c r="AA8" s="3"/>
      <c r="AB8" s="3"/>
      <c r="AC8" s="3"/>
    </row>
    <row r="9">
      <c r="A9" s="39" t="s">
        <v>70</v>
      </c>
      <c r="B9" s="42" t="s">
        <v>71</v>
      </c>
      <c r="C9" s="42" t="s">
        <v>78</v>
      </c>
      <c r="D9" s="40"/>
      <c r="E9" s="40"/>
      <c r="F9" s="40"/>
      <c r="G9" s="40"/>
      <c r="H9" s="40"/>
      <c r="I9" s="40"/>
      <c r="J9" s="40"/>
      <c r="K9" s="40"/>
      <c r="L9" s="41"/>
      <c r="M9" s="3"/>
      <c r="N9" s="3"/>
      <c r="O9" s="3"/>
      <c r="P9" s="3"/>
      <c r="Q9" s="3"/>
      <c r="R9" s="3"/>
      <c r="S9" s="3"/>
      <c r="T9" s="3"/>
      <c r="U9" s="3"/>
      <c r="V9" s="3"/>
      <c r="W9" s="3"/>
      <c r="X9" s="3"/>
      <c r="Y9" s="3"/>
      <c r="Z9" s="3"/>
      <c r="AA9" s="3"/>
      <c r="AB9" s="3"/>
      <c r="AC9" s="3"/>
    </row>
    <row r="10">
      <c r="A10" s="39" t="s">
        <v>70</v>
      </c>
      <c r="B10" s="42" t="s">
        <v>20</v>
      </c>
      <c r="C10" s="42" t="s">
        <v>79</v>
      </c>
      <c r="D10" s="40"/>
      <c r="E10" s="40"/>
      <c r="F10" s="40"/>
      <c r="G10" s="40"/>
      <c r="H10" s="40"/>
      <c r="I10" s="40"/>
      <c r="J10" s="40"/>
      <c r="K10" s="40"/>
      <c r="L10" s="41"/>
      <c r="M10" s="3"/>
      <c r="N10" s="3"/>
      <c r="O10" s="3"/>
      <c r="P10" s="3"/>
      <c r="Q10" s="3"/>
      <c r="R10" s="3"/>
      <c r="S10" s="3"/>
      <c r="T10" s="3"/>
      <c r="U10" s="3"/>
      <c r="V10" s="3"/>
      <c r="W10" s="3"/>
      <c r="X10" s="3"/>
      <c r="Y10" s="3"/>
      <c r="Z10" s="3"/>
      <c r="AA10" s="3"/>
      <c r="AB10" s="3"/>
      <c r="AC10" s="3"/>
    </row>
    <row r="11">
      <c r="A11" s="39" t="s">
        <v>70</v>
      </c>
      <c r="B11" s="42" t="s">
        <v>71</v>
      </c>
      <c r="C11" s="42" t="s">
        <v>80</v>
      </c>
      <c r="D11" s="40"/>
      <c r="E11" s="40"/>
      <c r="F11" s="40"/>
      <c r="G11" s="40"/>
      <c r="H11" s="40"/>
      <c r="I11" s="40"/>
      <c r="J11" s="40"/>
      <c r="K11" s="40"/>
      <c r="L11" s="43"/>
      <c r="M11" s="3"/>
      <c r="N11" s="3"/>
      <c r="O11" s="3"/>
      <c r="P11" s="3"/>
      <c r="Q11" s="3"/>
      <c r="R11" s="3"/>
      <c r="S11" s="3"/>
      <c r="T11" s="3"/>
      <c r="U11" s="3"/>
      <c r="V11" s="3"/>
      <c r="W11" s="3"/>
      <c r="X11" s="3"/>
      <c r="Y11" s="3"/>
      <c r="Z11" s="3"/>
      <c r="AA11" s="3"/>
      <c r="AB11" s="3"/>
      <c r="AC11" s="3"/>
    </row>
    <row r="12">
      <c r="A12" s="39" t="s">
        <v>70</v>
      </c>
      <c r="B12" s="42" t="s">
        <v>20</v>
      </c>
      <c r="C12" s="42" t="s">
        <v>81</v>
      </c>
      <c r="D12" s="40"/>
      <c r="E12" s="40"/>
      <c r="F12" s="40"/>
      <c r="G12" s="40"/>
      <c r="H12" s="40"/>
      <c r="I12" s="40"/>
      <c r="J12" s="40"/>
      <c r="K12" s="40"/>
      <c r="L12" s="43"/>
      <c r="M12" s="3"/>
      <c r="N12" s="3"/>
      <c r="O12" s="3"/>
      <c r="P12" s="3"/>
      <c r="Q12" s="3"/>
      <c r="R12" s="3"/>
      <c r="S12" s="3"/>
      <c r="T12" s="3"/>
      <c r="U12" s="3"/>
      <c r="V12" s="3"/>
      <c r="W12" s="3"/>
      <c r="X12" s="3"/>
      <c r="Y12" s="3"/>
      <c r="Z12" s="3"/>
      <c r="AA12" s="3"/>
      <c r="AB12" s="3"/>
      <c r="AC12" s="3"/>
    </row>
    <row r="13">
      <c r="A13" s="39" t="s">
        <v>70</v>
      </c>
      <c r="B13" s="42" t="s">
        <v>20</v>
      </c>
      <c r="C13" s="42" t="s">
        <v>82</v>
      </c>
      <c r="D13" s="40"/>
      <c r="E13" s="40"/>
      <c r="F13" s="40"/>
      <c r="G13" s="40"/>
      <c r="H13" s="40"/>
      <c r="I13" s="40"/>
      <c r="J13" s="40"/>
      <c r="K13" s="40"/>
      <c r="L13" s="43"/>
      <c r="M13" s="3"/>
      <c r="N13" s="3"/>
      <c r="O13" s="3"/>
      <c r="P13" s="3"/>
      <c r="Q13" s="3"/>
      <c r="R13" s="3"/>
      <c r="S13" s="3"/>
      <c r="T13" s="3"/>
      <c r="U13" s="3"/>
      <c r="V13" s="3"/>
      <c r="W13" s="3"/>
      <c r="X13" s="3"/>
      <c r="Y13" s="3"/>
      <c r="Z13" s="3"/>
      <c r="AA13" s="3"/>
      <c r="AB13" s="3"/>
      <c r="AC13" s="3"/>
    </row>
    <row r="14">
      <c r="A14" s="39" t="s">
        <v>70</v>
      </c>
      <c r="B14" s="44" t="s">
        <v>20</v>
      </c>
      <c r="C14" s="42" t="s">
        <v>83</v>
      </c>
      <c r="D14" s="40"/>
      <c r="E14" s="40"/>
      <c r="F14" s="40"/>
      <c r="G14" s="40"/>
      <c r="H14" s="40"/>
      <c r="I14" s="40"/>
      <c r="J14" s="40"/>
      <c r="K14" s="40"/>
      <c r="L14" s="45"/>
      <c r="M14" s="3"/>
      <c r="N14" s="3"/>
      <c r="O14" s="3"/>
      <c r="P14" s="3"/>
      <c r="Q14" s="3"/>
      <c r="R14" s="3"/>
      <c r="S14" s="3"/>
      <c r="T14" s="3"/>
      <c r="U14" s="3"/>
      <c r="V14" s="3"/>
      <c r="W14" s="3"/>
      <c r="X14" s="3"/>
      <c r="Y14" s="3"/>
      <c r="Z14" s="3"/>
      <c r="AA14" s="3"/>
      <c r="AB14" s="3"/>
      <c r="AC14" s="3"/>
    </row>
    <row r="15">
      <c r="A15" s="39" t="s">
        <v>70</v>
      </c>
      <c r="B15" s="42" t="s">
        <v>20</v>
      </c>
      <c r="C15" s="42" t="s">
        <v>84</v>
      </c>
      <c r="D15" s="40"/>
      <c r="E15" s="40"/>
      <c r="F15" s="40"/>
      <c r="G15" s="40"/>
      <c r="H15" s="40"/>
      <c r="I15" s="40"/>
      <c r="J15" s="40"/>
      <c r="K15" s="40"/>
      <c r="L15" s="43"/>
      <c r="M15" s="3"/>
      <c r="N15" s="3"/>
      <c r="O15" s="3"/>
      <c r="P15" s="3"/>
      <c r="Q15" s="3"/>
      <c r="R15" s="3"/>
      <c r="S15" s="3"/>
      <c r="T15" s="3"/>
      <c r="U15" s="3"/>
      <c r="V15" s="3"/>
      <c r="W15" s="3"/>
      <c r="X15" s="3"/>
      <c r="Y15" s="3"/>
      <c r="Z15" s="3"/>
      <c r="AA15" s="3"/>
      <c r="AB15" s="3"/>
      <c r="AC15" s="3"/>
    </row>
    <row r="16">
      <c r="A16" s="39" t="s">
        <v>70</v>
      </c>
      <c r="B16" s="42" t="s">
        <v>20</v>
      </c>
      <c r="C16" s="42" t="s">
        <v>85</v>
      </c>
      <c r="D16" s="40"/>
      <c r="E16" s="40"/>
      <c r="F16" s="40"/>
      <c r="G16" s="40"/>
      <c r="H16" s="40"/>
      <c r="I16" s="40"/>
      <c r="J16" s="40"/>
      <c r="K16" s="40"/>
      <c r="L16" s="43"/>
      <c r="M16" s="3"/>
      <c r="N16" s="3"/>
      <c r="O16" s="3"/>
      <c r="P16" s="3"/>
      <c r="Q16" s="3"/>
      <c r="R16" s="3"/>
      <c r="S16" s="3"/>
      <c r="T16" s="3"/>
      <c r="U16" s="3"/>
      <c r="V16" s="3"/>
      <c r="W16" s="3"/>
      <c r="X16" s="3"/>
      <c r="Y16" s="3"/>
      <c r="Z16" s="3"/>
      <c r="AA16" s="3"/>
      <c r="AB16" s="3"/>
      <c r="AC16" s="3"/>
    </row>
    <row r="17">
      <c r="A17" s="39" t="s">
        <v>70</v>
      </c>
      <c r="B17" s="42" t="s">
        <v>20</v>
      </c>
      <c r="C17" s="42" t="s">
        <v>86</v>
      </c>
      <c r="D17" s="40"/>
      <c r="E17" s="40"/>
      <c r="F17" s="40"/>
      <c r="G17" s="40"/>
      <c r="H17" s="40"/>
      <c r="I17" s="40"/>
      <c r="J17" s="40"/>
      <c r="K17" s="40"/>
      <c r="L17" s="43"/>
      <c r="M17" s="3"/>
      <c r="N17" s="3"/>
      <c r="O17" s="3"/>
      <c r="P17" s="3"/>
      <c r="Q17" s="3"/>
      <c r="R17" s="3"/>
      <c r="S17" s="3"/>
      <c r="T17" s="3"/>
      <c r="U17" s="3"/>
      <c r="V17" s="3"/>
      <c r="W17" s="3"/>
      <c r="X17" s="3"/>
      <c r="Y17" s="3"/>
      <c r="Z17" s="3"/>
      <c r="AA17" s="3"/>
      <c r="AB17" s="3"/>
      <c r="AC17" s="3"/>
    </row>
    <row r="18">
      <c r="A18" s="46" t="s">
        <v>87</v>
      </c>
      <c r="B18" s="47" t="s">
        <v>88</v>
      </c>
      <c r="C18" s="47" t="s">
        <v>89</v>
      </c>
      <c r="D18" s="48"/>
      <c r="E18" s="48"/>
      <c r="F18" s="48"/>
      <c r="G18" s="49"/>
      <c r="H18" s="50"/>
      <c r="I18" s="50"/>
      <c r="J18" s="50"/>
      <c r="K18" s="50"/>
      <c r="L18" s="51"/>
      <c r="M18" s="3"/>
      <c r="N18" s="3"/>
      <c r="O18" s="3"/>
      <c r="P18" s="3"/>
      <c r="Q18" s="3"/>
      <c r="R18" s="3"/>
      <c r="S18" s="3"/>
      <c r="T18" s="3"/>
      <c r="U18" s="3"/>
      <c r="V18" s="3"/>
      <c r="W18" s="3"/>
      <c r="X18" s="3"/>
      <c r="Y18" s="3"/>
      <c r="Z18" s="3"/>
      <c r="AA18" s="3"/>
      <c r="AB18" s="3"/>
      <c r="AC18" s="3"/>
    </row>
    <row r="19">
      <c r="A19" s="52" t="s">
        <v>87</v>
      </c>
      <c r="B19" s="48" t="s">
        <v>20</v>
      </c>
      <c r="C19" s="48" t="s">
        <v>90</v>
      </c>
      <c r="D19" s="48"/>
      <c r="E19" s="48"/>
      <c r="F19" s="48"/>
      <c r="G19" s="49"/>
      <c r="H19" s="50"/>
      <c r="I19" s="50"/>
      <c r="J19" s="50"/>
      <c r="K19" s="50"/>
      <c r="L19" s="51"/>
      <c r="M19" s="3"/>
      <c r="N19" s="3"/>
      <c r="O19" s="3"/>
      <c r="P19" s="3"/>
      <c r="Q19" s="3"/>
      <c r="R19" s="3"/>
      <c r="S19" s="3"/>
      <c r="T19" s="3"/>
      <c r="U19" s="3"/>
      <c r="V19" s="3"/>
      <c r="W19" s="3"/>
      <c r="X19" s="3"/>
      <c r="Y19" s="3"/>
      <c r="Z19" s="3"/>
      <c r="AA19" s="3"/>
      <c r="AB19" s="3"/>
      <c r="AC19" s="3"/>
    </row>
    <row r="20">
      <c r="A20" s="52" t="s">
        <v>87</v>
      </c>
      <c r="B20" s="48" t="s">
        <v>20</v>
      </c>
      <c r="C20" s="48" t="s">
        <v>91</v>
      </c>
      <c r="D20" s="48"/>
      <c r="E20" s="48"/>
      <c r="F20" s="48"/>
      <c r="G20" s="49"/>
      <c r="H20" s="50"/>
      <c r="I20" s="50"/>
      <c r="J20" s="50"/>
      <c r="K20" s="50"/>
      <c r="L20" s="51"/>
      <c r="M20" s="3"/>
      <c r="N20" s="3"/>
      <c r="O20" s="3"/>
      <c r="P20" s="3"/>
      <c r="Q20" s="3"/>
      <c r="R20" s="3"/>
      <c r="S20" s="3"/>
      <c r="T20" s="3"/>
      <c r="U20" s="3"/>
      <c r="V20" s="3"/>
      <c r="W20" s="3"/>
      <c r="X20" s="3"/>
      <c r="Y20" s="3"/>
      <c r="Z20" s="3"/>
      <c r="AA20" s="3"/>
      <c r="AB20" s="3"/>
      <c r="AC20" s="3"/>
    </row>
    <row r="21">
      <c r="A21" s="52" t="s">
        <v>87</v>
      </c>
      <c r="B21" s="48" t="s">
        <v>20</v>
      </c>
      <c r="C21" s="48" t="s">
        <v>92</v>
      </c>
      <c r="D21" s="48"/>
      <c r="E21" s="48"/>
      <c r="F21" s="48"/>
      <c r="G21" s="49"/>
      <c r="H21" s="50"/>
      <c r="I21" s="50"/>
      <c r="J21" s="50"/>
      <c r="K21" s="50"/>
      <c r="L21" s="51"/>
      <c r="M21" s="3"/>
      <c r="N21" s="3"/>
      <c r="O21" s="3"/>
      <c r="P21" s="3"/>
      <c r="Q21" s="3"/>
      <c r="R21" s="3"/>
      <c r="S21" s="3"/>
      <c r="T21" s="3"/>
      <c r="U21" s="3"/>
      <c r="V21" s="3"/>
      <c r="W21" s="3"/>
      <c r="X21" s="3"/>
      <c r="Y21" s="3"/>
      <c r="Z21" s="3"/>
      <c r="AA21" s="3"/>
      <c r="AB21" s="3"/>
      <c r="AC21" s="3"/>
    </row>
    <row r="22">
      <c r="A22" s="52" t="s">
        <v>87</v>
      </c>
      <c r="B22" s="48" t="s">
        <v>20</v>
      </c>
      <c r="C22" s="48" t="s">
        <v>93</v>
      </c>
      <c r="D22" s="48"/>
      <c r="E22" s="48"/>
      <c r="F22" s="48"/>
      <c r="G22" s="49"/>
      <c r="H22" s="50"/>
      <c r="I22" s="50"/>
      <c r="J22" s="50"/>
      <c r="K22" s="50"/>
      <c r="L22" s="51"/>
      <c r="M22" s="3"/>
      <c r="N22" s="3"/>
      <c r="O22" s="3"/>
      <c r="P22" s="3"/>
      <c r="Q22" s="3"/>
      <c r="R22" s="3"/>
      <c r="S22" s="3"/>
      <c r="T22" s="3"/>
      <c r="U22" s="3"/>
      <c r="V22" s="3"/>
      <c r="W22" s="3"/>
      <c r="X22" s="3"/>
      <c r="Y22" s="3"/>
      <c r="Z22" s="3"/>
      <c r="AA22" s="3"/>
      <c r="AB22" s="3"/>
      <c r="AC22" s="3"/>
    </row>
    <row r="23">
      <c r="A23" s="52" t="s">
        <v>87</v>
      </c>
      <c r="B23" s="48" t="s">
        <v>20</v>
      </c>
      <c r="C23" s="48" t="s">
        <v>94</v>
      </c>
      <c r="D23" s="48"/>
      <c r="E23" s="48"/>
      <c r="F23" s="48"/>
      <c r="G23" s="49"/>
      <c r="H23" s="50"/>
      <c r="I23" s="50"/>
      <c r="J23" s="50"/>
      <c r="K23" s="50"/>
      <c r="L23" s="51"/>
      <c r="M23" s="3"/>
      <c r="N23" s="3"/>
      <c r="O23" s="3"/>
      <c r="P23" s="3"/>
      <c r="Q23" s="3"/>
      <c r="R23" s="3"/>
      <c r="S23" s="3"/>
      <c r="T23" s="3"/>
      <c r="U23" s="3"/>
      <c r="V23" s="3"/>
      <c r="W23" s="3"/>
      <c r="X23" s="3"/>
      <c r="Y23" s="3"/>
      <c r="Z23" s="3"/>
      <c r="AA23" s="3"/>
      <c r="AB23" s="3"/>
      <c r="AC23" s="3"/>
    </row>
    <row r="24">
      <c r="A24" s="52" t="s">
        <v>87</v>
      </c>
      <c r="B24" s="48" t="s">
        <v>20</v>
      </c>
      <c r="C24" s="48" t="s">
        <v>95</v>
      </c>
      <c r="D24" s="48"/>
      <c r="E24" s="48"/>
      <c r="F24" s="48"/>
      <c r="G24" s="49"/>
      <c r="H24" s="50"/>
      <c r="I24" s="50"/>
      <c r="J24" s="50"/>
      <c r="K24" s="50"/>
      <c r="L24" s="51"/>
      <c r="M24" s="3"/>
      <c r="N24" s="3"/>
      <c r="O24" s="3"/>
      <c r="P24" s="3"/>
      <c r="Q24" s="3"/>
      <c r="R24" s="3"/>
      <c r="S24" s="3"/>
      <c r="T24" s="3"/>
      <c r="U24" s="3"/>
      <c r="V24" s="3"/>
      <c r="W24" s="3"/>
      <c r="X24" s="3"/>
      <c r="Y24" s="3"/>
      <c r="Z24" s="3"/>
      <c r="AA24" s="3"/>
      <c r="AB24" s="3"/>
      <c r="AC24" s="3"/>
    </row>
    <row r="25">
      <c r="A25" s="52" t="s">
        <v>87</v>
      </c>
      <c r="B25" s="48" t="s">
        <v>20</v>
      </c>
      <c r="C25" s="48" t="s">
        <v>96</v>
      </c>
      <c r="D25" s="48"/>
      <c r="E25" s="48"/>
      <c r="F25" s="48"/>
      <c r="G25" s="49"/>
      <c r="H25" s="50"/>
      <c r="I25" s="50"/>
      <c r="J25" s="50"/>
      <c r="K25" s="50"/>
      <c r="L25" s="51"/>
      <c r="M25" s="3"/>
      <c r="N25" s="3"/>
      <c r="O25" s="3"/>
      <c r="P25" s="3"/>
      <c r="Q25" s="3"/>
      <c r="R25" s="3"/>
      <c r="S25" s="3"/>
      <c r="T25" s="3"/>
      <c r="U25" s="3"/>
      <c r="V25" s="3"/>
      <c r="W25" s="3"/>
      <c r="X25" s="3"/>
      <c r="Y25" s="3"/>
      <c r="Z25" s="3"/>
      <c r="AA25" s="3"/>
      <c r="AB25" s="3"/>
      <c r="AC25" s="3"/>
    </row>
    <row r="26">
      <c r="A26" s="52" t="s">
        <v>87</v>
      </c>
      <c r="B26" s="48" t="s">
        <v>20</v>
      </c>
      <c r="C26" s="48" t="s">
        <v>97</v>
      </c>
      <c r="D26" s="48" t="s">
        <v>98</v>
      </c>
      <c r="E26" s="48"/>
      <c r="F26" s="48"/>
      <c r="G26" s="49"/>
      <c r="H26" s="50"/>
      <c r="I26" s="50"/>
      <c r="J26" s="50"/>
      <c r="K26" s="50"/>
      <c r="L26" s="51"/>
      <c r="M26" s="3"/>
      <c r="N26" s="3"/>
      <c r="O26" s="3"/>
      <c r="P26" s="3"/>
      <c r="Q26" s="3"/>
      <c r="R26" s="3"/>
      <c r="S26" s="3"/>
      <c r="T26" s="3"/>
      <c r="U26" s="3"/>
      <c r="V26" s="3"/>
      <c r="W26" s="3"/>
      <c r="X26" s="3"/>
      <c r="Y26" s="3"/>
      <c r="Z26" s="3"/>
      <c r="AA26" s="3"/>
      <c r="AB26" s="3"/>
      <c r="AC26" s="3"/>
    </row>
    <row r="27">
      <c r="A27" s="52" t="s">
        <v>87</v>
      </c>
      <c r="B27" s="48" t="s">
        <v>20</v>
      </c>
      <c r="C27" s="48" t="s">
        <v>99</v>
      </c>
      <c r="D27" s="48"/>
      <c r="E27" s="48"/>
      <c r="F27" s="48"/>
      <c r="G27" s="49"/>
      <c r="H27" s="50"/>
      <c r="I27" s="50"/>
      <c r="J27" s="50"/>
      <c r="K27" s="50"/>
      <c r="L27" s="51"/>
      <c r="M27" s="3"/>
      <c r="N27" s="3"/>
      <c r="O27" s="3"/>
      <c r="P27" s="3"/>
      <c r="Q27" s="3"/>
      <c r="R27" s="3"/>
      <c r="S27" s="3"/>
      <c r="T27" s="3"/>
      <c r="U27" s="3"/>
      <c r="V27" s="3"/>
      <c r="W27" s="3"/>
      <c r="X27" s="3"/>
      <c r="Y27" s="3"/>
      <c r="Z27" s="3"/>
      <c r="AA27" s="3"/>
      <c r="AB27" s="3"/>
      <c r="AC27" s="3"/>
    </row>
    <row r="28">
      <c r="A28" s="52" t="s">
        <v>87</v>
      </c>
      <c r="B28" s="48" t="s">
        <v>20</v>
      </c>
      <c r="C28" s="48" t="s">
        <v>100</v>
      </c>
      <c r="D28" s="48"/>
      <c r="E28" s="48"/>
      <c r="F28" s="48"/>
      <c r="G28" s="49"/>
      <c r="H28" s="50"/>
      <c r="I28" s="50"/>
      <c r="J28" s="50"/>
      <c r="K28" s="50"/>
      <c r="L28" s="53"/>
      <c r="M28" s="3"/>
      <c r="N28" s="3"/>
      <c r="O28" s="3"/>
      <c r="P28" s="3"/>
      <c r="Q28" s="3"/>
      <c r="R28" s="3"/>
      <c r="S28" s="3"/>
      <c r="T28" s="3"/>
      <c r="U28" s="3"/>
      <c r="V28" s="3"/>
      <c r="W28" s="3"/>
      <c r="X28" s="3"/>
      <c r="Y28" s="3"/>
      <c r="Z28" s="3"/>
      <c r="AA28" s="3"/>
      <c r="AB28" s="3"/>
      <c r="AC28" s="3"/>
    </row>
    <row r="29">
      <c r="A29" s="52" t="s">
        <v>87</v>
      </c>
      <c r="B29" s="48" t="s">
        <v>20</v>
      </c>
      <c r="C29" s="48" t="s">
        <v>101</v>
      </c>
      <c r="D29" s="48"/>
      <c r="E29" s="48"/>
      <c r="F29" s="48"/>
      <c r="G29" s="49"/>
      <c r="H29" s="50"/>
      <c r="I29" s="50"/>
      <c r="J29" s="50"/>
      <c r="K29" s="50"/>
      <c r="L29" s="53"/>
      <c r="M29" s="3"/>
      <c r="N29" s="3"/>
      <c r="O29" s="3"/>
      <c r="P29" s="3"/>
      <c r="Q29" s="3"/>
      <c r="R29" s="3"/>
      <c r="S29" s="3"/>
      <c r="T29" s="3"/>
      <c r="U29" s="3"/>
      <c r="V29" s="3"/>
      <c r="W29" s="3"/>
      <c r="X29" s="3"/>
      <c r="Y29" s="3"/>
      <c r="Z29" s="3"/>
      <c r="AA29" s="3"/>
      <c r="AB29" s="3"/>
      <c r="AC29" s="3"/>
    </row>
    <row r="30">
      <c r="A30" s="52" t="s">
        <v>87</v>
      </c>
      <c r="B30" s="48" t="s">
        <v>20</v>
      </c>
      <c r="C30" s="48" t="s">
        <v>102</v>
      </c>
      <c r="D30" s="49"/>
      <c r="E30" s="49"/>
      <c r="F30" s="48"/>
      <c r="G30" s="49"/>
      <c r="H30" s="50"/>
      <c r="I30" s="50"/>
      <c r="J30" s="50"/>
      <c r="K30" s="50"/>
      <c r="L30" s="54"/>
      <c r="M30" s="3"/>
      <c r="N30" s="3"/>
      <c r="O30" s="3"/>
      <c r="P30" s="3"/>
      <c r="Q30" s="3"/>
      <c r="R30" s="3"/>
      <c r="S30" s="3"/>
      <c r="T30" s="3"/>
      <c r="U30" s="3"/>
      <c r="V30" s="3"/>
      <c r="W30" s="3"/>
      <c r="X30" s="3"/>
      <c r="Y30" s="3"/>
      <c r="Z30" s="3"/>
      <c r="AA30" s="3"/>
      <c r="AB30" s="3"/>
      <c r="AC30" s="3"/>
    </row>
    <row r="31">
      <c r="A31" s="52" t="s">
        <v>87</v>
      </c>
      <c r="B31" s="48" t="s">
        <v>20</v>
      </c>
      <c r="C31" s="48" t="s">
        <v>103</v>
      </c>
      <c r="D31" s="48"/>
      <c r="E31" s="48"/>
      <c r="F31" s="48"/>
      <c r="G31" s="49"/>
      <c r="H31" s="50"/>
      <c r="I31" s="50"/>
      <c r="J31" s="50"/>
      <c r="K31" s="50"/>
      <c r="L31" s="54"/>
      <c r="M31" s="3"/>
      <c r="N31" s="3"/>
      <c r="O31" s="3"/>
      <c r="P31" s="3"/>
      <c r="Q31" s="3"/>
      <c r="R31" s="3"/>
      <c r="S31" s="3"/>
      <c r="T31" s="3"/>
      <c r="U31" s="3"/>
      <c r="V31" s="3"/>
      <c r="W31" s="3"/>
      <c r="X31" s="3"/>
      <c r="Y31" s="3"/>
      <c r="Z31" s="3"/>
      <c r="AA31" s="3"/>
      <c r="AB31" s="3"/>
      <c r="AC31" s="3"/>
    </row>
    <row r="32">
      <c r="A32" s="52" t="s">
        <v>87</v>
      </c>
      <c r="B32" s="48" t="s">
        <v>71</v>
      </c>
      <c r="C32" s="48" t="s">
        <v>104</v>
      </c>
      <c r="D32" s="48"/>
      <c r="E32" s="48"/>
      <c r="F32" s="48"/>
      <c r="G32" s="49"/>
      <c r="H32" s="50"/>
      <c r="I32" s="50"/>
      <c r="J32" s="50"/>
      <c r="K32" s="50"/>
      <c r="L32" s="54"/>
      <c r="M32" s="3"/>
      <c r="N32" s="3"/>
      <c r="O32" s="3"/>
      <c r="P32" s="3"/>
      <c r="Q32" s="3"/>
      <c r="R32" s="3"/>
      <c r="S32" s="3"/>
      <c r="T32" s="3"/>
      <c r="U32" s="3"/>
      <c r="V32" s="3"/>
      <c r="W32" s="3"/>
      <c r="X32" s="3"/>
      <c r="Y32" s="3"/>
      <c r="Z32" s="3"/>
      <c r="AA32" s="3"/>
      <c r="AB32" s="3"/>
      <c r="AC32" s="3"/>
    </row>
    <row r="33">
      <c r="A33" s="52" t="s">
        <v>87</v>
      </c>
      <c r="B33" s="48" t="s">
        <v>71</v>
      </c>
      <c r="C33" s="55" t="s">
        <v>105</v>
      </c>
      <c r="D33" s="55"/>
      <c r="E33" s="55"/>
      <c r="F33" s="55"/>
      <c r="G33" s="56"/>
      <c r="H33" s="57"/>
      <c r="I33" s="57"/>
      <c r="J33" s="57"/>
      <c r="K33" s="57"/>
      <c r="L33" s="58"/>
      <c r="M33" s="59"/>
      <c r="N33" s="59"/>
      <c r="O33" s="59"/>
      <c r="P33" s="59"/>
      <c r="Q33" s="59"/>
      <c r="R33" s="59"/>
      <c r="S33" s="59"/>
      <c r="T33" s="59"/>
      <c r="U33" s="59"/>
      <c r="V33" s="59"/>
      <c r="W33" s="59"/>
      <c r="X33" s="59"/>
      <c r="Y33" s="59"/>
      <c r="Z33" s="59"/>
      <c r="AA33" s="59"/>
      <c r="AB33" s="59"/>
      <c r="AC33" s="59"/>
    </row>
    <row r="34">
      <c r="A34" s="52" t="s">
        <v>87</v>
      </c>
      <c r="B34" s="48" t="s">
        <v>71</v>
      </c>
      <c r="C34" s="55" t="s">
        <v>106</v>
      </c>
      <c r="D34" s="48"/>
      <c r="E34" s="48"/>
      <c r="F34" s="48"/>
      <c r="G34" s="49"/>
      <c r="H34" s="50"/>
      <c r="I34" s="50"/>
      <c r="J34" s="50"/>
      <c r="K34" s="50"/>
      <c r="L34" s="53"/>
      <c r="M34" s="3"/>
      <c r="N34" s="3"/>
      <c r="O34" s="3"/>
      <c r="P34" s="3"/>
      <c r="Q34" s="3"/>
      <c r="R34" s="3"/>
      <c r="S34" s="3"/>
      <c r="T34" s="3"/>
      <c r="U34" s="3"/>
      <c r="V34" s="3"/>
      <c r="W34" s="3"/>
      <c r="X34" s="3"/>
      <c r="Y34" s="3"/>
      <c r="Z34" s="3"/>
      <c r="AA34" s="3"/>
      <c r="AB34" s="3"/>
      <c r="AC34" s="3"/>
    </row>
    <row r="35">
      <c r="A35" s="52" t="s">
        <v>87</v>
      </c>
      <c r="B35" s="48" t="s">
        <v>71</v>
      </c>
      <c r="C35" s="55" t="s">
        <v>107</v>
      </c>
      <c r="D35" s="48"/>
      <c r="E35" s="48"/>
      <c r="F35" s="48"/>
      <c r="G35" s="49"/>
      <c r="H35" s="50"/>
      <c r="I35" s="50"/>
      <c r="J35" s="50"/>
      <c r="K35" s="50"/>
      <c r="L35" s="53"/>
      <c r="M35" s="3"/>
      <c r="N35" s="3"/>
      <c r="O35" s="3"/>
      <c r="P35" s="3"/>
      <c r="Q35" s="3"/>
      <c r="R35" s="3"/>
      <c r="S35" s="3"/>
      <c r="T35" s="3"/>
      <c r="U35" s="3"/>
      <c r="V35" s="3"/>
      <c r="W35" s="3"/>
      <c r="X35" s="3"/>
      <c r="Y35" s="3"/>
      <c r="Z35" s="3"/>
      <c r="AA35" s="3"/>
      <c r="AB35" s="3"/>
      <c r="AC35" s="3"/>
    </row>
    <row r="36">
      <c r="A36" s="52" t="s">
        <v>87</v>
      </c>
      <c r="B36" s="48" t="s">
        <v>71</v>
      </c>
      <c r="C36" s="55" t="s">
        <v>108</v>
      </c>
      <c r="D36" s="48"/>
      <c r="E36" s="48"/>
      <c r="F36" s="48"/>
      <c r="G36" s="49"/>
      <c r="H36" s="50"/>
      <c r="I36" s="50"/>
      <c r="J36" s="50"/>
      <c r="K36" s="50"/>
      <c r="L36" s="53"/>
      <c r="M36" s="3"/>
      <c r="N36" s="3"/>
      <c r="O36" s="3"/>
      <c r="P36" s="3"/>
      <c r="Q36" s="3"/>
      <c r="R36" s="3"/>
      <c r="S36" s="3"/>
      <c r="T36" s="3"/>
      <c r="U36" s="3"/>
      <c r="V36" s="3"/>
      <c r="W36" s="3"/>
      <c r="X36" s="3"/>
      <c r="Y36" s="3"/>
      <c r="Z36" s="3"/>
      <c r="AA36" s="3"/>
      <c r="AB36" s="3"/>
      <c r="AC36" s="3"/>
    </row>
    <row r="37">
      <c r="A37" s="52" t="s">
        <v>87</v>
      </c>
      <c r="B37" s="55" t="s">
        <v>109</v>
      </c>
      <c r="C37" s="55" t="s">
        <v>110</v>
      </c>
      <c r="D37" s="48"/>
      <c r="E37" s="48"/>
      <c r="F37" s="48"/>
      <c r="G37" s="49"/>
      <c r="H37" s="50"/>
      <c r="I37" s="50"/>
      <c r="J37" s="50"/>
      <c r="K37" s="50"/>
      <c r="L37" s="53"/>
      <c r="M37" s="3"/>
      <c r="N37" s="3"/>
      <c r="O37" s="3"/>
      <c r="P37" s="3"/>
      <c r="Q37" s="3"/>
      <c r="R37" s="3"/>
      <c r="S37" s="3"/>
      <c r="T37" s="3"/>
      <c r="U37" s="3"/>
      <c r="V37" s="3"/>
      <c r="W37" s="3"/>
      <c r="X37" s="3"/>
      <c r="Y37" s="3"/>
      <c r="Z37" s="3"/>
      <c r="AA37" s="3"/>
      <c r="AB37" s="3"/>
      <c r="AC37" s="3"/>
    </row>
    <row r="38">
      <c r="A38" s="52" t="s">
        <v>87</v>
      </c>
      <c r="B38" s="55" t="s">
        <v>109</v>
      </c>
      <c r="C38" s="48" t="s">
        <v>111</v>
      </c>
      <c r="D38" s="48"/>
      <c r="E38" s="48"/>
      <c r="F38" s="48"/>
      <c r="G38" s="49"/>
      <c r="H38" s="50"/>
      <c r="I38" s="50"/>
      <c r="J38" s="50"/>
      <c r="K38" s="50"/>
      <c r="L38" s="53"/>
      <c r="M38" s="3"/>
      <c r="N38" s="3"/>
      <c r="O38" s="3"/>
      <c r="P38" s="3"/>
      <c r="Q38" s="3"/>
      <c r="R38" s="3"/>
      <c r="S38" s="3"/>
      <c r="T38" s="3"/>
      <c r="U38" s="3"/>
      <c r="V38" s="3"/>
      <c r="W38" s="3"/>
      <c r="X38" s="3"/>
      <c r="Y38" s="3"/>
      <c r="Z38" s="3"/>
      <c r="AA38" s="3"/>
      <c r="AB38" s="3"/>
      <c r="AC38" s="3"/>
    </row>
    <row r="39">
      <c r="A39" s="52" t="s">
        <v>87</v>
      </c>
      <c r="B39" s="55" t="s">
        <v>109</v>
      </c>
      <c r="C39" s="48" t="s">
        <v>112</v>
      </c>
      <c r="D39" s="48"/>
      <c r="E39" s="48"/>
      <c r="F39" s="48"/>
      <c r="G39" s="49"/>
      <c r="H39" s="50"/>
      <c r="I39" s="50"/>
      <c r="J39" s="50"/>
      <c r="K39" s="50"/>
      <c r="L39" s="53"/>
      <c r="M39" s="3"/>
      <c r="N39" s="3"/>
      <c r="O39" s="3"/>
      <c r="P39" s="3"/>
      <c r="Q39" s="3"/>
      <c r="R39" s="3"/>
      <c r="S39" s="3"/>
      <c r="T39" s="3"/>
      <c r="U39" s="3"/>
      <c r="V39" s="3"/>
      <c r="W39" s="3"/>
      <c r="X39" s="3"/>
      <c r="Y39" s="3"/>
      <c r="Z39" s="3"/>
      <c r="AA39" s="3"/>
      <c r="AB39" s="3"/>
      <c r="AC39" s="3"/>
    </row>
    <row r="40">
      <c r="A40" s="52" t="s">
        <v>87</v>
      </c>
      <c r="B40" s="55" t="s">
        <v>109</v>
      </c>
      <c r="C40" s="48" t="s">
        <v>113</v>
      </c>
      <c r="D40" s="48"/>
      <c r="E40" s="48"/>
      <c r="F40" s="48"/>
      <c r="G40" s="49"/>
      <c r="H40" s="50"/>
      <c r="I40" s="50"/>
      <c r="J40" s="50"/>
      <c r="K40" s="50"/>
      <c r="L40" s="53"/>
      <c r="M40" s="3"/>
      <c r="N40" s="3"/>
      <c r="O40" s="3"/>
      <c r="P40" s="3"/>
      <c r="Q40" s="3"/>
      <c r="R40" s="3"/>
      <c r="S40" s="3"/>
      <c r="T40" s="3"/>
      <c r="U40" s="3"/>
      <c r="V40" s="3"/>
      <c r="W40" s="3"/>
      <c r="X40" s="3"/>
      <c r="Y40" s="3"/>
      <c r="Z40" s="3"/>
      <c r="AA40" s="3"/>
      <c r="AB40" s="3"/>
      <c r="AC40" s="3"/>
    </row>
    <row r="41">
      <c r="A41" s="60" t="s">
        <v>114</v>
      </c>
      <c r="B41" s="61" t="s">
        <v>88</v>
      </c>
      <c r="C41" s="61" t="s">
        <v>115</v>
      </c>
      <c r="D41" s="62"/>
      <c r="E41" s="62"/>
      <c r="F41" s="62"/>
      <c r="G41" s="63"/>
      <c r="H41" s="64"/>
      <c r="I41" s="64"/>
      <c r="J41" s="64"/>
      <c r="K41" s="64"/>
      <c r="L41" s="65"/>
      <c r="M41" s="3"/>
      <c r="N41" s="3"/>
      <c r="O41" s="3"/>
      <c r="P41" s="3"/>
      <c r="Q41" s="3"/>
      <c r="R41" s="3"/>
      <c r="S41" s="3"/>
      <c r="T41" s="3"/>
      <c r="U41" s="3"/>
      <c r="V41" s="3"/>
      <c r="W41" s="3"/>
      <c r="X41" s="3"/>
      <c r="Y41" s="3"/>
      <c r="Z41" s="3"/>
      <c r="AA41" s="3"/>
      <c r="AB41" s="3"/>
      <c r="AC41" s="3"/>
    </row>
    <row r="42">
      <c r="A42" s="60" t="s">
        <v>114</v>
      </c>
      <c r="B42" s="61" t="s">
        <v>88</v>
      </c>
      <c r="C42" s="61" t="s">
        <v>116</v>
      </c>
      <c r="D42" s="62"/>
      <c r="E42" s="62"/>
      <c r="F42" s="62"/>
      <c r="G42" s="63"/>
      <c r="H42" s="64"/>
      <c r="I42" s="64"/>
      <c r="J42" s="64"/>
      <c r="K42" s="64"/>
      <c r="L42" s="65"/>
      <c r="M42" s="3"/>
      <c r="N42" s="3"/>
      <c r="O42" s="3"/>
      <c r="P42" s="3"/>
      <c r="Q42" s="3"/>
      <c r="R42" s="3"/>
      <c r="S42" s="3"/>
      <c r="T42" s="3"/>
      <c r="U42" s="3"/>
      <c r="V42" s="3"/>
      <c r="W42" s="3"/>
      <c r="X42" s="3"/>
      <c r="Y42" s="3"/>
      <c r="Z42" s="3"/>
      <c r="AA42" s="3"/>
      <c r="AB42" s="3"/>
      <c r="AC42" s="3"/>
    </row>
    <row r="43">
      <c r="A43" s="60" t="s">
        <v>114</v>
      </c>
      <c r="B43" s="61" t="s">
        <v>88</v>
      </c>
      <c r="C43" s="61" t="s">
        <v>117</v>
      </c>
      <c r="D43" s="62"/>
      <c r="E43" s="62"/>
      <c r="F43" s="62"/>
      <c r="G43" s="63"/>
      <c r="H43" s="64"/>
      <c r="I43" s="64"/>
      <c r="J43" s="64"/>
      <c r="K43" s="64"/>
      <c r="L43" s="65"/>
      <c r="M43" s="3"/>
      <c r="N43" s="3"/>
      <c r="O43" s="3"/>
      <c r="P43" s="3"/>
      <c r="Q43" s="3"/>
      <c r="R43" s="3"/>
      <c r="S43" s="3"/>
      <c r="T43" s="3"/>
      <c r="U43" s="3"/>
      <c r="V43" s="3"/>
      <c r="W43" s="3"/>
      <c r="X43" s="3"/>
      <c r="Y43" s="3"/>
      <c r="Z43" s="3"/>
      <c r="AA43" s="3"/>
      <c r="AB43" s="3"/>
      <c r="AC43" s="3"/>
    </row>
    <row r="44">
      <c r="A44" s="60" t="s">
        <v>118</v>
      </c>
      <c r="B44" s="61" t="s">
        <v>88</v>
      </c>
      <c r="C44" s="61" t="s">
        <v>119</v>
      </c>
      <c r="D44" s="61"/>
      <c r="E44" s="61"/>
      <c r="F44" s="61"/>
      <c r="G44" s="66"/>
      <c r="H44" s="67"/>
      <c r="I44" s="67"/>
      <c r="J44" s="67"/>
      <c r="K44" s="67"/>
      <c r="L44" s="68"/>
      <c r="M44" s="69"/>
      <c r="N44" s="69"/>
      <c r="O44" s="69"/>
      <c r="P44" s="69"/>
      <c r="Q44" s="69"/>
      <c r="R44" s="69"/>
      <c r="S44" s="69"/>
      <c r="T44" s="69"/>
      <c r="U44" s="69"/>
      <c r="V44" s="69"/>
      <c r="W44" s="69"/>
      <c r="X44" s="69"/>
      <c r="Y44" s="69"/>
      <c r="Z44" s="69"/>
      <c r="AA44" s="69"/>
      <c r="AB44" s="69"/>
      <c r="AC44" s="69"/>
    </row>
    <row r="45">
      <c r="A45" s="60" t="s">
        <v>118</v>
      </c>
      <c r="B45" s="62" t="s">
        <v>20</v>
      </c>
      <c r="C45" s="62" t="s">
        <v>120</v>
      </c>
      <c r="D45" s="62"/>
      <c r="E45" s="61"/>
      <c r="F45" s="61"/>
      <c r="G45" s="66"/>
      <c r="H45" s="67"/>
      <c r="I45" s="67"/>
      <c r="J45" s="67"/>
      <c r="K45" s="67"/>
      <c r="L45" s="68"/>
      <c r="M45" s="69"/>
      <c r="N45" s="69"/>
      <c r="O45" s="69"/>
      <c r="P45" s="69"/>
      <c r="Q45" s="69"/>
      <c r="R45" s="69"/>
      <c r="S45" s="69"/>
      <c r="T45" s="69"/>
      <c r="U45" s="69"/>
      <c r="V45" s="69"/>
      <c r="W45" s="69"/>
      <c r="X45" s="69"/>
      <c r="Y45" s="69"/>
      <c r="Z45" s="69"/>
      <c r="AA45" s="69"/>
      <c r="AB45" s="69"/>
      <c r="AC45" s="69"/>
    </row>
    <row r="46">
      <c r="A46" s="60" t="s">
        <v>118</v>
      </c>
      <c r="B46" s="62" t="s">
        <v>20</v>
      </c>
      <c r="C46" s="62" t="s">
        <v>121</v>
      </c>
      <c r="D46" s="62"/>
      <c r="E46" s="61"/>
      <c r="F46" s="61"/>
      <c r="G46" s="66"/>
      <c r="H46" s="67"/>
      <c r="I46" s="67"/>
      <c r="J46" s="67"/>
      <c r="K46" s="67"/>
      <c r="L46" s="68"/>
      <c r="M46" s="69"/>
      <c r="N46" s="69"/>
      <c r="O46" s="69"/>
      <c r="P46" s="69"/>
      <c r="Q46" s="69"/>
      <c r="R46" s="69"/>
      <c r="S46" s="69"/>
      <c r="T46" s="69"/>
      <c r="U46" s="69"/>
      <c r="V46" s="69"/>
      <c r="W46" s="69"/>
      <c r="X46" s="69"/>
      <c r="Y46" s="69"/>
      <c r="Z46" s="69"/>
      <c r="AA46" s="69"/>
      <c r="AB46" s="69"/>
      <c r="AC46" s="69"/>
    </row>
    <row r="47">
      <c r="A47" s="70" t="s">
        <v>118</v>
      </c>
      <c r="B47" s="62" t="s">
        <v>20</v>
      </c>
      <c r="C47" s="62" t="s">
        <v>122</v>
      </c>
      <c r="D47" s="62"/>
      <c r="E47" s="61"/>
      <c r="F47" s="61"/>
      <c r="G47" s="66"/>
      <c r="H47" s="67"/>
      <c r="I47" s="67"/>
      <c r="J47" s="67"/>
      <c r="K47" s="67"/>
      <c r="L47" s="68"/>
      <c r="M47" s="69"/>
      <c r="N47" s="69"/>
      <c r="O47" s="69"/>
      <c r="P47" s="69"/>
      <c r="Q47" s="69"/>
      <c r="R47" s="69"/>
      <c r="S47" s="69"/>
      <c r="T47" s="69"/>
      <c r="U47" s="69"/>
      <c r="V47" s="69"/>
      <c r="W47" s="69"/>
      <c r="X47" s="69"/>
      <c r="Y47" s="69"/>
      <c r="Z47" s="69"/>
      <c r="AA47" s="69"/>
      <c r="AB47" s="69"/>
      <c r="AC47" s="69"/>
    </row>
    <row r="48">
      <c r="A48" s="70" t="s">
        <v>118</v>
      </c>
      <c r="B48" s="62" t="s">
        <v>20</v>
      </c>
      <c r="C48" s="62" t="s">
        <v>123</v>
      </c>
      <c r="D48" s="62"/>
      <c r="E48" s="61"/>
      <c r="F48" s="61"/>
      <c r="G48" s="66"/>
      <c r="H48" s="67"/>
      <c r="I48" s="67"/>
      <c r="J48" s="67"/>
      <c r="K48" s="67"/>
      <c r="L48" s="68"/>
      <c r="M48" s="69"/>
      <c r="N48" s="69"/>
      <c r="O48" s="69"/>
      <c r="P48" s="69"/>
      <c r="Q48" s="69"/>
      <c r="R48" s="69"/>
      <c r="S48" s="69"/>
      <c r="T48" s="69"/>
      <c r="U48" s="69"/>
      <c r="V48" s="69"/>
      <c r="W48" s="69"/>
      <c r="X48" s="69"/>
      <c r="Y48" s="69"/>
      <c r="Z48" s="69"/>
      <c r="AA48" s="69"/>
      <c r="AB48" s="69"/>
      <c r="AC48" s="69"/>
    </row>
    <row r="49">
      <c r="A49" s="70" t="s">
        <v>118</v>
      </c>
      <c r="B49" s="62" t="s">
        <v>20</v>
      </c>
      <c r="C49" s="62" t="s">
        <v>124</v>
      </c>
      <c r="D49" s="62"/>
      <c r="E49" s="61"/>
      <c r="F49" s="61"/>
      <c r="G49" s="66"/>
      <c r="H49" s="67"/>
      <c r="I49" s="67"/>
      <c r="J49" s="67"/>
      <c r="K49" s="67"/>
      <c r="L49" s="68"/>
      <c r="M49" s="69"/>
      <c r="N49" s="69"/>
      <c r="O49" s="69"/>
      <c r="P49" s="69"/>
      <c r="Q49" s="69"/>
      <c r="R49" s="69"/>
      <c r="S49" s="69"/>
      <c r="T49" s="69"/>
      <c r="U49" s="69"/>
      <c r="V49" s="69"/>
      <c r="W49" s="69"/>
      <c r="X49" s="69"/>
      <c r="Y49" s="69"/>
      <c r="Z49" s="69"/>
      <c r="AA49" s="69"/>
      <c r="AB49" s="69"/>
      <c r="AC49" s="69"/>
    </row>
    <row r="50">
      <c r="A50" s="70" t="s">
        <v>118</v>
      </c>
      <c r="B50" s="62" t="s">
        <v>20</v>
      </c>
      <c r="C50" s="62" t="s">
        <v>125</v>
      </c>
      <c r="D50" s="62"/>
      <c r="E50" s="61"/>
      <c r="F50" s="61"/>
      <c r="G50" s="66"/>
      <c r="H50" s="67"/>
      <c r="I50" s="67"/>
      <c r="J50" s="67"/>
      <c r="K50" s="67"/>
      <c r="L50" s="68"/>
      <c r="M50" s="69"/>
      <c r="N50" s="69"/>
      <c r="O50" s="69"/>
      <c r="P50" s="69"/>
      <c r="Q50" s="69"/>
      <c r="R50" s="69"/>
      <c r="S50" s="69"/>
      <c r="T50" s="69"/>
      <c r="U50" s="69"/>
      <c r="V50" s="69"/>
      <c r="W50" s="69"/>
      <c r="X50" s="69"/>
      <c r="Y50" s="69"/>
      <c r="Z50" s="69"/>
      <c r="AA50" s="69"/>
      <c r="AB50" s="69"/>
      <c r="AC50" s="69"/>
    </row>
    <row r="51">
      <c r="A51" s="70" t="s">
        <v>118</v>
      </c>
      <c r="B51" s="62" t="s">
        <v>20</v>
      </c>
      <c r="C51" s="62" t="s">
        <v>126</v>
      </c>
      <c r="D51" s="62"/>
      <c r="E51" s="61"/>
      <c r="F51" s="61"/>
      <c r="G51" s="66"/>
      <c r="H51" s="67"/>
      <c r="I51" s="67"/>
      <c r="J51" s="67"/>
      <c r="K51" s="67"/>
      <c r="L51" s="68"/>
      <c r="M51" s="69"/>
      <c r="N51" s="69"/>
      <c r="O51" s="69"/>
      <c r="P51" s="69"/>
      <c r="Q51" s="69"/>
      <c r="R51" s="69"/>
      <c r="S51" s="69"/>
      <c r="T51" s="69"/>
      <c r="U51" s="69"/>
      <c r="V51" s="69"/>
      <c r="W51" s="69"/>
      <c r="X51" s="69"/>
      <c r="Y51" s="69"/>
      <c r="Z51" s="69"/>
      <c r="AA51" s="69"/>
      <c r="AB51" s="69"/>
      <c r="AC51" s="69"/>
    </row>
    <row r="52">
      <c r="A52" s="70" t="s">
        <v>118</v>
      </c>
      <c r="B52" s="62" t="s">
        <v>20</v>
      </c>
      <c r="C52" s="62" t="s">
        <v>127</v>
      </c>
      <c r="D52" s="62"/>
      <c r="E52" s="61"/>
      <c r="F52" s="61"/>
      <c r="G52" s="66"/>
      <c r="H52" s="67"/>
      <c r="I52" s="67"/>
      <c r="J52" s="67"/>
      <c r="K52" s="67"/>
      <c r="L52" s="68"/>
      <c r="M52" s="69"/>
      <c r="N52" s="69"/>
      <c r="O52" s="69"/>
      <c r="P52" s="69"/>
      <c r="Q52" s="69"/>
      <c r="R52" s="69"/>
      <c r="S52" s="69"/>
      <c r="T52" s="69"/>
      <c r="U52" s="69"/>
      <c r="V52" s="69"/>
      <c r="W52" s="69"/>
      <c r="X52" s="69"/>
      <c r="Y52" s="69"/>
      <c r="Z52" s="69"/>
      <c r="AA52" s="69"/>
      <c r="AB52" s="69"/>
      <c r="AC52" s="69"/>
    </row>
    <row r="53">
      <c r="A53" s="70" t="s">
        <v>118</v>
      </c>
      <c r="B53" s="62" t="s">
        <v>20</v>
      </c>
      <c r="C53" s="62" t="s">
        <v>128</v>
      </c>
      <c r="D53" s="62"/>
      <c r="E53" s="61"/>
      <c r="F53" s="61"/>
      <c r="G53" s="66"/>
      <c r="H53" s="67"/>
      <c r="I53" s="67"/>
      <c r="J53" s="67"/>
      <c r="K53" s="67"/>
      <c r="L53" s="68"/>
      <c r="M53" s="69"/>
      <c r="N53" s="69"/>
      <c r="O53" s="69"/>
      <c r="P53" s="69"/>
      <c r="Q53" s="69"/>
      <c r="R53" s="69"/>
      <c r="S53" s="69"/>
      <c r="T53" s="69"/>
      <c r="U53" s="69"/>
      <c r="V53" s="69"/>
      <c r="W53" s="69"/>
      <c r="X53" s="69"/>
      <c r="Y53" s="69"/>
      <c r="Z53" s="69"/>
      <c r="AA53" s="69"/>
      <c r="AB53" s="69"/>
      <c r="AC53" s="69"/>
    </row>
    <row r="54">
      <c r="A54" s="70" t="s">
        <v>118</v>
      </c>
      <c r="B54" s="62" t="s">
        <v>20</v>
      </c>
      <c r="C54" s="62" t="s">
        <v>129</v>
      </c>
      <c r="D54" s="62"/>
      <c r="E54" s="61"/>
      <c r="F54" s="61"/>
      <c r="G54" s="66"/>
      <c r="H54" s="67"/>
      <c r="I54" s="67"/>
      <c r="J54" s="67"/>
      <c r="K54" s="67"/>
      <c r="L54" s="68"/>
      <c r="M54" s="69"/>
      <c r="N54" s="69"/>
      <c r="O54" s="69"/>
      <c r="P54" s="69"/>
      <c r="Q54" s="69"/>
      <c r="R54" s="69"/>
      <c r="S54" s="69"/>
      <c r="T54" s="69"/>
      <c r="U54" s="69"/>
      <c r="V54" s="69"/>
      <c r="W54" s="69"/>
      <c r="X54" s="69"/>
      <c r="Y54" s="69"/>
      <c r="Z54" s="69"/>
      <c r="AA54" s="69"/>
      <c r="AB54" s="69"/>
      <c r="AC54" s="69"/>
    </row>
    <row r="55">
      <c r="A55" s="70" t="s">
        <v>118</v>
      </c>
      <c r="B55" s="62" t="s">
        <v>20</v>
      </c>
      <c r="C55" s="62" t="s">
        <v>130</v>
      </c>
      <c r="D55" s="62"/>
      <c r="E55" s="61"/>
      <c r="F55" s="61"/>
      <c r="G55" s="66"/>
      <c r="H55" s="67"/>
      <c r="I55" s="67"/>
      <c r="J55" s="67"/>
      <c r="K55" s="67"/>
      <c r="L55" s="68"/>
      <c r="M55" s="69"/>
      <c r="N55" s="69"/>
      <c r="O55" s="69"/>
      <c r="P55" s="69"/>
      <c r="Q55" s="69"/>
      <c r="R55" s="69"/>
      <c r="S55" s="69"/>
      <c r="T55" s="69"/>
      <c r="U55" s="69"/>
      <c r="V55" s="69"/>
      <c r="W55" s="69"/>
      <c r="X55" s="69"/>
      <c r="Y55" s="69"/>
      <c r="Z55" s="69"/>
      <c r="AA55" s="69"/>
      <c r="AB55" s="69"/>
      <c r="AC55" s="69"/>
    </row>
    <row r="56">
      <c r="A56" s="70" t="s">
        <v>118</v>
      </c>
      <c r="B56" s="62" t="s">
        <v>20</v>
      </c>
      <c r="C56" s="62" t="s">
        <v>131</v>
      </c>
      <c r="D56" s="62" t="s">
        <v>132</v>
      </c>
      <c r="E56" s="61"/>
      <c r="F56" s="61"/>
      <c r="G56" s="66"/>
      <c r="H56" s="67"/>
      <c r="I56" s="67"/>
      <c r="J56" s="67"/>
      <c r="K56" s="67"/>
      <c r="L56" s="68"/>
      <c r="M56" s="69"/>
      <c r="N56" s="69"/>
      <c r="O56" s="69"/>
      <c r="P56" s="69"/>
      <c r="Q56" s="69"/>
      <c r="R56" s="69"/>
      <c r="S56" s="69"/>
      <c r="T56" s="69"/>
      <c r="U56" s="69"/>
      <c r="V56" s="69"/>
      <c r="W56" s="69"/>
      <c r="X56" s="69"/>
      <c r="Y56" s="69"/>
      <c r="Z56" s="69"/>
      <c r="AA56" s="69"/>
      <c r="AB56" s="69"/>
      <c r="AC56" s="69"/>
    </row>
    <row r="57">
      <c r="A57" s="70" t="s">
        <v>118</v>
      </c>
      <c r="B57" s="62" t="s">
        <v>20</v>
      </c>
      <c r="C57" s="62" t="s">
        <v>133</v>
      </c>
      <c r="D57" s="62"/>
      <c r="E57" s="61"/>
      <c r="F57" s="61"/>
      <c r="G57" s="66"/>
      <c r="H57" s="67"/>
      <c r="I57" s="67"/>
      <c r="J57" s="67"/>
      <c r="K57" s="67"/>
      <c r="L57" s="68"/>
      <c r="M57" s="69"/>
      <c r="N57" s="69"/>
      <c r="O57" s="69"/>
      <c r="P57" s="69"/>
      <c r="Q57" s="69"/>
      <c r="R57" s="69"/>
      <c r="S57" s="69"/>
      <c r="T57" s="69"/>
      <c r="U57" s="69"/>
      <c r="V57" s="69"/>
      <c r="W57" s="69"/>
      <c r="X57" s="69"/>
      <c r="Y57" s="69"/>
      <c r="Z57" s="69"/>
      <c r="AA57" s="69"/>
      <c r="AB57" s="69"/>
      <c r="AC57" s="69"/>
    </row>
    <row r="58">
      <c r="A58" s="70" t="s">
        <v>118</v>
      </c>
      <c r="B58" s="62" t="s">
        <v>20</v>
      </c>
      <c r="C58" s="62" t="s">
        <v>134</v>
      </c>
      <c r="D58" s="62"/>
      <c r="E58" s="61"/>
      <c r="F58" s="61"/>
      <c r="G58" s="66"/>
      <c r="H58" s="67"/>
      <c r="I58" s="67"/>
      <c r="J58" s="67"/>
      <c r="K58" s="67"/>
      <c r="L58" s="68"/>
      <c r="M58" s="69"/>
      <c r="N58" s="69"/>
      <c r="O58" s="69"/>
      <c r="P58" s="69"/>
      <c r="Q58" s="69"/>
      <c r="R58" s="69"/>
      <c r="S58" s="69"/>
      <c r="T58" s="69"/>
      <c r="U58" s="69"/>
      <c r="V58" s="69"/>
      <c r="W58" s="69"/>
      <c r="X58" s="69"/>
      <c r="Y58" s="69"/>
      <c r="Z58" s="69"/>
      <c r="AA58" s="69"/>
      <c r="AB58" s="69"/>
      <c r="AC58" s="69"/>
    </row>
    <row r="59">
      <c r="A59" s="70" t="s">
        <v>118</v>
      </c>
      <c r="B59" s="62" t="s">
        <v>20</v>
      </c>
      <c r="C59" s="62" t="s">
        <v>135</v>
      </c>
      <c r="D59" s="62"/>
      <c r="E59" s="61"/>
      <c r="F59" s="61"/>
      <c r="G59" s="66"/>
      <c r="H59" s="67"/>
      <c r="I59" s="67"/>
      <c r="J59" s="67"/>
      <c r="K59" s="67"/>
      <c r="L59" s="68"/>
      <c r="M59" s="69"/>
      <c r="N59" s="69"/>
      <c r="O59" s="69"/>
      <c r="P59" s="69"/>
      <c r="Q59" s="69"/>
      <c r="R59" s="69"/>
      <c r="S59" s="69"/>
      <c r="T59" s="69"/>
      <c r="U59" s="69"/>
      <c r="V59" s="69"/>
      <c r="W59" s="69"/>
      <c r="X59" s="69"/>
      <c r="Y59" s="69"/>
      <c r="Z59" s="69"/>
      <c r="AA59" s="69"/>
      <c r="AB59" s="69"/>
      <c r="AC59" s="69"/>
    </row>
    <row r="60">
      <c r="A60" s="70" t="s">
        <v>118</v>
      </c>
      <c r="B60" s="62" t="s">
        <v>20</v>
      </c>
      <c r="C60" s="62" t="s">
        <v>136</v>
      </c>
      <c r="D60" s="62"/>
      <c r="E60" s="61"/>
      <c r="F60" s="61"/>
      <c r="G60" s="66"/>
      <c r="H60" s="67"/>
      <c r="I60" s="67"/>
      <c r="J60" s="67"/>
      <c r="K60" s="67"/>
      <c r="L60" s="68"/>
      <c r="M60" s="69"/>
      <c r="N60" s="69"/>
      <c r="O60" s="69"/>
      <c r="P60" s="69"/>
      <c r="Q60" s="69"/>
      <c r="R60" s="69"/>
      <c r="S60" s="69"/>
      <c r="T60" s="69"/>
      <c r="U60" s="69"/>
      <c r="V60" s="69"/>
      <c r="W60" s="69"/>
      <c r="X60" s="69"/>
      <c r="Y60" s="69"/>
      <c r="Z60" s="69"/>
      <c r="AA60" s="69"/>
      <c r="AB60" s="69"/>
      <c r="AC60" s="69"/>
    </row>
    <row r="61">
      <c r="A61" s="70" t="s">
        <v>118</v>
      </c>
      <c r="B61" s="62" t="s">
        <v>20</v>
      </c>
      <c r="C61" s="62" t="s">
        <v>137</v>
      </c>
      <c r="D61" s="62"/>
      <c r="E61" s="61"/>
      <c r="F61" s="61"/>
      <c r="G61" s="66"/>
      <c r="H61" s="67"/>
      <c r="I61" s="67"/>
      <c r="J61" s="67"/>
      <c r="K61" s="67"/>
      <c r="L61" s="68"/>
      <c r="M61" s="69"/>
      <c r="N61" s="69"/>
      <c r="O61" s="69"/>
      <c r="P61" s="69"/>
      <c r="Q61" s="69"/>
      <c r="R61" s="69"/>
      <c r="S61" s="69"/>
      <c r="T61" s="69"/>
      <c r="U61" s="69"/>
      <c r="V61" s="69"/>
      <c r="W61" s="69"/>
      <c r="X61" s="69"/>
      <c r="Y61" s="69"/>
      <c r="Z61" s="69"/>
      <c r="AA61" s="69"/>
      <c r="AB61" s="69"/>
      <c r="AC61" s="69"/>
    </row>
    <row r="62">
      <c r="A62" s="70" t="s">
        <v>118</v>
      </c>
      <c r="B62" s="62" t="s">
        <v>71</v>
      </c>
      <c r="C62" s="62" t="s">
        <v>138</v>
      </c>
      <c r="D62" s="62"/>
      <c r="E62" s="62"/>
      <c r="F62" s="62"/>
      <c r="G62" s="63"/>
      <c r="H62" s="64"/>
      <c r="I62" s="64"/>
      <c r="J62" s="64"/>
      <c r="K62" s="64"/>
      <c r="L62" s="65"/>
      <c r="M62" s="3"/>
      <c r="N62" s="3"/>
      <c r="O62" s="3"/>
      <c r="P62" s="3"/>
      <c r="Q62" s="3"/>
      <c r="R62" s="3"/>
      <c r="S62" s="3"/>
      <c r="T62" s="3"/>
      <c r="U62" s="3"/>
      <c r="V62" s="3"/>
      <c r="W62" s="3"/>
      <c r="X62" s="3"/>
      <c r="Y62" s="3"/>
      <c r="Z62" s="3"/>
      <c r="AA62" s="3"/>
      <c r="AB62" s="3"/>
      <c r="AC62" s="3"/>
    </row>
    <row r="63">
      <c r="A63" s="70" t="s">
        <v>118</v>
      </c>
      <c r="B63" s="62" t="s">
        <v>71</v>
      </c>
      <c r="C63" s="62" t="s">
        <v>139</v>
      </c>
      <c r="D63" s="62"/>
      <c r="E63" s="62"/>
      <c r="F63" s="62"/>
      <c r="G63" s="63"/>
      <c r="H63" s="64"/>
      <c r="I63" s="64"/>
      <c r="J63" s="64"/>
      <c r="K63" s="64"/>
      <c r="L63" s="65"/>
      <c r="M63" s="3"/>
      <c r="N63" s="3"/>
      <c r="O63" s="3"/>
      <c r="P63" s="3"/>
      <c r="Q63" s="3"/>
      <c r="R63" s="3"/>
      <c r="S63" s="3"/>
      <c r="T63" s="3"/>
      <c r="U63" s="3"/>
      <c r="V63" s="3"/>
      <c r="W63" s="3"/>
      <c r="X63" s="3"/>
      <c r="Y63" s="3"/>
      <c r="Z63" s="3"/>
      <c r="AA63" s="3"/>
      <c r="AB63" s="3"/>
      <c r="AC63" s="3"/>
    </row>
    <row r="64">
      <c r="A64" s="70" t="s">
        <v>118</v>
      </c>
      <c r="B64" s="62" t="s">
        <v>140</v>
      </c>
      <c r="C64" s="62" t="s">
        <v>141</v>
      </c>
      <c r="D64" s="62"/>
      <c r="E64" s="62"/>
      <c r="F64" s="62"/>
      <c r="G64" s="63"/>
      <c r="H64" s="64"/>
      <c r="I64" s="64"/>
      <c r="J64" s="64"/>
      <c r="K64" s="64"/>
      <c r="L64" s="65"/>
      <c r="M64" s="3"/>
      <c r="N64" s="3"/>
      <c r="O64" s="3"/>
      <c r="P64" s="3"/>
      <c r="Q64" s="3"/>
      <c r="R64" s="3"/>
      <c r="S64" s="3"/>
      <c r="T64" s="3"/>
      <c r="U64" s="3"/>
      <c r="V64" s="3"/>
      <c r="W64" s="3"/>
      <c r="X64" s="3"/>
      <c r="Y64" s="3"/>
      <c r="Z64" s="3"/>
      <c r="AA64" s="3"/>
      <c r="AB64" s="3"/>
      <c r="AC64" s="3"/>
    </row>
    <row r="65">
      <c r="A65" s="70" t="s">
        <v>118</v>
      </c>
      <c r="B65" s="62" t="s">
        <v>140</v>
      </c>
      <c r="C65" s="62" t="s">
        <v>142</v>
      </c>
      <c r="D65" s="62"/>
      <c r="E65" s="62"/>
      <c r="F65" s="62"/>
      <c r="G65" s="63"/>
      <c r="H65" s="64"/>
      <c r="I65" s="64"/>
      <c r="J65" s="64"/>
      <c r="K65" s="64"/>
      <c r="L65" s="65"/>
      <c r="M65" s="3"/>
      <c r="N65" s="3"/>
      <c r="O65" s="3"/>
      <c r="P65" s="3"/>
      <c r="Q65" s="3"/>
      <c r="R65" s="3"/>
      <c r="S65" s="3"/>
      <c r="T65" s="3"/>
      <c r="U65" s="3"/>
      <c r="V65" s="3"/>
      <c r="W65" s="3"/>
      <c r="X65" s="3"/>
      <c r="Y65" s="3"/>
      <c r="Z65" s="3"/>
      <c r="AA65" s="3"/>
      <c r="AB65" s="3"/>
      <c r="AC65" s="3"/>
    </row>
    <row r="66">
      <c r="A66" s="70" t="s">
        <v>118</v>
      </c>
      <c r="B66" s="62" t="s">
        <v>20</v>
      </c>
      <c r="C66" s="62" t="s">
        <v>143</v>
      </c>
      <c r="D66" s="62"/>
      <c r="E66" s="62"/>
      <c r="F66" s="62"/>
      <c r="G66" s="63"/>
      <c r="H66" s="64"/>
      <c r="I66" s="64"/>
      <c r="J66" s="64"/>
      <c r="K66" s="64"/>
      <c r="L66" s="65"/>
      <c r="M66" s="3"/>
      <c r="N66" s="3"/>
      <c r="O66" s="3"/>
      <c r="P66" s="3"/>
      <c r="Q66" s="3"/>
      <c r="R66" s="3"/>
      <c r="S66" s="3"/>
      <c r="T66" s="3"/>
      <c r="U66" s="3"/>
      <c r="V66" s="3"/>
      <c r="W66" s="3"/>
      <c r="X66" s="3"/>
      <c r="Y66" s="3"/>
      <c r="Z66" s="3"/>
      <c r="AA66" s="3"/>
      <c r="AB66" s="3"/>
      <c r="AC66" s="3"/>
    </row>
    <row r="67">
      <c r="A67" s="70" t="s">
        <v>118</v>
      </c>
      <c r="B67" s="62" t="s">
        <v>140</v>
      </c>
      <c r="C67" s="62" t="s">
        <v>144</v>
      </c>
      <c r="D67" s="62"/>
      <c r="E67" s="62"/>
      <c r="F67" s="62"/>
      <c r="G67" s="63"/>
      <c r="H67" s="64"/>
      <c r="I67" s="64"/>
      <c r="J67" s="64"/>
      <c r="K67" s="64"/>
      <c r="L67" s="65"/>
      <c r="M67" s="3"/>
      <c r="N67" s="3"/>
      <c r="O67" s="3"/>
      <c r="P67" s="3"/>
      <c r="Q67" s="3"/>
      <c r="R67" s="3"/>
      <c r="S67" s="3"/>
      <c r="T67" s="3"/>
      <c r="U67" s="3"/>
      <c r="V67" s="3"/>
      <c r="W67" s="3"/>
      <c r="X67" s="3"/>
      <c r="Y67" s="3"/>
      <c r="Z67" s="3"/>
      <c r="AA67" s="3"/>
      <c r="AB67" s="3"/>
      <c r="AC67" s="3"/>
    </row>
    <row r="68">
      <c r="A68" s="70" t="s">
        <v>118</v>
      </c>
      <c r="B68" s="62" t="s">
        <v>20</v>
      </c>
      <c r="C68" s="62" t="s">
        <v>145</v>
      </c>
      <c r="D68" s="62"/>
      <c r="E68" s="62"/>
      <c r="F68" s="62"/>
      <c r="G68" s="63"/>
      <c r="H68" s="64"/>
      <c r="I68" s="64"/>
      <c r="J68" s="64"/>
      <c r="K68" s="64"/>
      <c r="L68" s="65"/>
      <c r="M68" s="3"/>
      <c r="N68" s="3"/>
      <c r="O68" s="3"/>
      <c r="P68" s="3"/>
      <c r="Q68" s="3"/>
      <c r="R68" s="3"/>
      <c r="S68" s="3"/>
      <c r="T68" s="3"/>
      <c r="U68" s="3"/>
      <c r="V68" s="3"/>
      <c r="W68" s="3"/>
      <c r="X68" s="3"/>
      <c r="Y68" s="3"/>
      <c r="Z68" s="3"/>
      <c r="AA68" s="3"/>
      <c r="AB68" s="3"/>
      <c r="AC68" s="3"/>
    </row>
    <row r="69">
      <c r="A69" s="70" t="s">
        <v>118</v>
      </c>
      <c r="B69" s="62" t="s">
        <v>20</v>
      </c>
      <c r="C69" s="62" t="s">
        <v>146</v>
      </c>
      <c r="D69" s="62"/>
      <c r="E69" s="62"/>
      <c r="F69" s="62"/>
      <c r="G69" s="63"/>
      <c r="H69" s="64"/>
      <c r="I69" s="64"/>
      <c r="J69" s="64"/>
      <c r="K69" s="64"/>
      <c r="L69" s="65"/>
      <c r="M69" s="3"/>
      <c r="N69" s="3"/>
      <c r="O69" s="3"/>
      <c r="P69" s="3"/>
      <c r="Q69" s="3"/>
      <c r="R69" s="3"/>
      <c r="S69" s="3"/>
      <c r="T69" s="3"/>
      <c r="U69" s="3"/>
      <c r="V69" s="3"/>
      <c r="W69" s="3"/>
      <c r="X69" s="3"/>
      <c r="Y69" s="3"/>
      <c r="Z69" s="3"/>
      <c r="AA69" s="3"/>
      <c r="AB69" s="3"/>
      <c r="AC69" s="3"/>
    </row>
    <row r="70">
      <c r="A70" s="70" t="s">
        <v>118</v>
      </c>
      <c r="B70" s="62" t="s">
        <v>20</v>
      </c>
      <c r="C70" s="62" t="s">
        <v>147</v>
      </c>
      <c r="D70" s="62"/>
      <c r="E70" s="62"/>
      <c r="F70" s="62"/>
      <c r="G70" s="63"/>
      <c r="H70" s="64"/>
      <c r="I70" s="64"/>
      <c r="J70" s="64"/>
      <c r="K70" s="64"/>
      <c r="L70" s="65"/>
      <c r="M70" s="3"/>
      <c r="N70" s="3"/>
      <c r="O70" s="3"/>
      <c r="P70" s="3"/>
      <c r="Q70" s="3"/>
      <c r="R70" s="3"/>
      <c r="S70" s="3"/>
      <c r="T70" s="3"/>
      <c r="U70" s="3"/>
      <c r="V70" s="3"/>
      <c r="W70" s="3"/>
      <c r="X70" s="3"/>
      <c r="Y70" s="3"/>
      <c r="Z70" s="3"/>
      <c r="AA70" s="3"/>
      <c r="AB70" s="3"/>
      <c r="AC70" s="3"/>
    </row>
    <row r="71">
      <c r="A71" s="70" t="s">
        <v>118</v>
      </c>
      <c r="B71" s="62" t="s">
        <v>20</v>
      </c>
      <c r="C71" s="62" t="s">
        <v>148</v>
      </c>
      <c r="D71" s="62"/>
      <c r="E71" s="62"/>
      <c r="F71" s="62"/>
      <c r="G71" s="63"/>
      <c r="H71" s="64"/>
      <c r="I71" s="64"/>
      <c r="J71" s="64"/>
      <c r="K71" s="64"/>
      <c r="L71" s="65"/>
      <c r="M71" s="3"/>
      <c r="N71" s="3"/>
      <c r="O71" s="3"/>
      <c r="P71" s="3"/>
      <c r="Q71" s="3"/>
      <c r="R71" s="3"/>
      <c r="S71" s="3"/>
      <c r="T71" s="3"/>
      <c r="U71" s="3"/>
      <c r="V71" s="3"/>
      <c r="W71" s="3"/>
      <c r="X71" s="3"/>
      <c r="Y71" s="3"/>
      <c r="Z71" s="3"/>
      <c r="AA71" s="3"/>
      <c r="AB71" s="3"/>
      <c r="AC71" s="3"/>
    </row>
    <row r="72">
      <c r="A72" s="70" t="s">
        <v>118</v>
      </c>
      <c r="B72" s="62" t="s">
        <v>20</v>
      </c>
      <c r="C72" s="62" t="s">
        <v>149</v>
      </c>
      <c r="D72" s="62"/>
      <c r="E72" s="62"/>
      <c r="F72" s="62"/>
      <c r="G72" s="63"/>
      <c r="H72" s="64"/>
      <c r="I72" s="64"/>
      <c r="J72" s="64"/>
      <c r="K72" s="64"/>
      <c r="L72" s="65"/>
      <c r="M72" s="3"/>
      <c r="N72" s="3"/>
      <c r="O72" s="3"/>
      <c r="P72" s="3"/>
      <c r="Q72" s="3"/>
      <c r="R72" s="3"/>
      <c r="S72" s="3"/>
      <c r="T72" s="3"/>
      <c r="U72" s="3"/>
      <c r="V72" s="3"/>
      <c r="W72" s="3"/>
      <c r="X72" s="3"/>
      <c r="Y72" s="3"/>
      <c r="Z72" s="3"/>
      <c r="AA72" s="3"/>
      <c r="AB72" s="3"/>
      <c r="AC72" s="3"/>
    </row>
    <row r="73">
      <c r="A73" s="70" t="s">
        <v>118</v>
      </c>
      <c r="B73" s="62" t="s">
        <v>20</v>
      </c>
      <c r="C73" s="62" t="s">
        <v>150</v>
      </c>
      <c r="D73" s="62"/>
      <c r="E73" s="62"/>
      <c r="F73" s="62"/>
      <c r="G73" s="63"/>
      <c r="H73" s="64"/>
      <c r="I73" s="64"/>
      <c r="J73" s="64"/>
      <c r="K73" s="64"/>
      <c r="L73" s="65"/>
      <c r="M73" s="3"/>
      <c r="N73" s="3"/>
      <c r="O73" s="3"/>
      <c r="P73" s="3"/>
      <c r="Q73" s="3"/>
      <c r="R73" s="3"/>
      <c r="S73" s="3"/>
      <c r="T73" s="3"/>
      <c r="U73" s="3"/>
      <c r="V73" s="3"/>
      <c r="W73" s="3"/>
      <c r="X73" s="3"/>
      <c r="Y73" s="3"/>
      <c r="Z73" s="3"/>
      <c r="AA73" s="3"/>
      <c r="AB73" s="3"/>
      <c r="AC73" s="3"/>
    </row>
    <row r="74">
      <c r="A74" s="70" t="s">
        <v>118</v>
      </c>
      <c r="B74" s="62" t="s">
        <v>20</v>
      </c>
      <c r="C74" s="62" t="s">
        <v>151</v>
      </c>
      <c r="D74" s="62"/>
      <c r="E74" s="62"/>
      <c r="F74" s="62"/>
      <c r="G74" s="63"/>
      <c r="H74" s="64"/>
      <c r="I74" s="64"/>
      <c r="J74" s="64"/>
      <c r="K74" s="64"/>
      <c r="L74" s="65"/>
      <c r="M74" s="3"/>
      <c r="N74" s="3"/>
      <c r="O74" s="3"/>
      <c r="P74" s="3"/>
      <c r="Q74" s="3"/>
      <c r="R74" s="3"/>
      <c r="S74" s="3"/>
      <c r="T74" s="3"/>
      <c r="U74" s="3"/>
      <c r="V74" s="3"/>
      <c r="W74" s="3"/>
      <c r="X74" s="3"/>
      <c r="Y74" s="3"/>
      <c r="Z74" s="3"/>
      <c r="AA74" s="3"/>
      <c r="AB74" s="3"/>
      <c r="AC74" s="3"/>
    </row>
    <row r="75">
      <c r="A75" s="70" t="s">
        <v>118</v>
      </c>
      <c r="B75" s="62" t="s">
        <v>71</v>
      </c>
      <c r="C75" s="62" t="s">
        <v>152</v>
      </c>
      <c r="D75" s="62"/>
      <c r="E75" s="62"/>
      <c r="F75" s="62"/>
      <c r="G75" s="63"/>
      <c r="H75" s="64"/>
      <c r="I75" s="64"/>
      <c r="J75" s="64"/>
      <c r="K75" s="64"/>
      <c r="L75" s="65"/>
      <c r="M75" s="3"/>
      <c r="N75" s="3"/>
      <c r="O75" s="3"/>
      <c r="P75" s="3"/>
      <c r="Q75" s="3"/>
      <c r="R75" s="3"/>
      <c r="S75" s="3"/>
      <c r="T75" s="3"/>
      <c r="U75" s="3"/>
      <c r="V75" s="3"/>
      <c r="W75" s="3"/>
      <c r="X75" s="3"/>
      <c r="Y75" s="3"/>
      <c r="Z75" s="3"/>
      <c r="AA75" s="3"/>
      <c r="AB75" s="3"/>
      <c r="AC75" s="3"/>
    </row>
    <row r="76">
      <c r="A76" s="70" t="s">
        <v>118</v>
      </c>
      <c r="B76" s="62" t="s">
        <v>71</v>
      </c>
      <c r="C76" s="71" t="s">
        <v>153</v>
      </c>
      <c r="D76" s="62"/>
      <c r="E76" s="62"/>
      <c r="F76" s="62"/>
      <c r="G76" s="63"/>
      <c r="H76" s="64"/>
      <c r="I76" s="64"/>
      <c r="J76" s="64"/>
      <c r="K76" s="64"/>
      <c r="L76" s="65"/>
      <c r="M76" s="3"/>
      <c r="N76" s="3"/>
      <c r="O76" s="3"/>
      <c r="P76" s="3"/>
      <c r="Q76" s="3"/>
      <c r="R76" s="3"/>
      <c r="S76" s="3"/>
      <c r="T76" s="3"/>
      <c r="U76" s="3"/>
      <c r="V76" s="3"/>
      <c r="W76" s="3"/>
      <c r="X76" s="3"/>
      <c r="Y76" s="3"/>
      <c r="Z76" s="3"/>
      <c r="AA76" s="3"/>
      <c r="AB76" s="3"/>
      <c r="AC76" s="3"/>
    </row>
    <row r="77">
      <c r="A77" s="70" t="s">
        <v>118</v>
      </c>
      <c r="B77" s="62" t="s">
        <v>20</v>
      </c>
      <c r="C77" s="62" t="s">
        <v>154</v>
      </c>
      <c r="D77" s="62"/>
      <c r="E77" s="62"/>
      <c r="F77" s="62"/>
      <c r="G77" s="63"/>
      <c r="H77" s="64"/>
      <c r="I77" s="64"/>
      <c r="J77" s="64"/>
      <c r="K77" s="64"/>
      <c r="L77" s="65"/>
      <c r="M77" s="3"/>
      <c r="N77" s="3"/>
      <c r="O77" s="3"/>
      <c r="P77" s="3"/>
      <c r="Q77" s="3"/>
      <c r="R77" s="3"/>
      <c r="S77" s="3"/>
      <c r="T77" s="3"/>
      <c r="U77" s="3"/>
      <c r="V77" s="3"/>
      <c r="W77" s="3"/>
      <c r="X77" s="3"/>
      <c r="Y77" s="3"/>
      <c r="Z77" s="3"/>
      <c r="AA77" s="3"/>
      <c r="AB77" s="3"/>
      <c r="AC77" s="3"/>
    </row>
    <row r="78">
      <c r="A78" s="70" t="s">
        <v>118</v>
      </c>
      <c r="B78" s="62" t="s">
        <v>71</v>
      </c>
      <c r="C78" s="62" t="s">
        <v>155</v>
      </c>
      <c r="D78" s="62"/>
      <c r="E78" s="62"/>
      <c r="F78" s="62"/>
      <c r="G78" s="63"/>
      <c r="H78" s="64"/>
      <c r="I78" s="64"/>
      <c r="J78" s="64"/>
      <c r="K78" s="64"/>
      <c r="L78" s="65"/>
      <c r="M78" s="3"/>
      <c r="N78" s="3"/>
      <c r="O78" s="3"/>
      <c r="P78" s="3"/>
      <c r="Q78" s="3"/>
      <c r="R78" s="3"/>
      <c r="S78" s="3"/>
      <c r="T78" s="3"/>
      <c r="U78" s="3"/>
      <c r="V78" s="3"/>
      <c r="W78" s="3"/>
      <c r="X78" s="3"/>
      <c r="Y78" s="3"/>
      <c r="Z78" s="3"/>
      <c r="AA78" s="3"/>
      <c r="AB78" s="3"/>
      <c r="AC78" s="3"/>
    </row>
    <row r="79">
      <c r="A79" s="70" t="s">
        <v>118</v>
      </c>
      <c r="B79" s="62" t="s">
        <v>71</v>
      </c>
      <c r="C79" s="62" t="s">
        <v>156</v>
      </c>
      <c r="D79" s="62"/>
      <c r="E79" s="62"/>
      <c r="F79" s="62"/>
      <c r="G79" s="63"/>
      <c r="H79" s="64"/>
      <c r="I79" s="64"/>
      <c r="J79" s="64"/>
      <c r="K79" s="64"/>
      <c r="L79" s="65"/>
      <c r="M79" s="3"/>
      <c r="N79" s="3"/>
      <c r="O79" s="3"/>
      <c r="P79" s="3"/>
      <c r="Q79" s="3"/>
      <c r="R79" s="3"/>
      <c r="S79" s="3"/>
      <c r="T79" s="3"/>
      <c r="U79" s="3"/>
      <c r="V79" s="3"/>
      <c r="W79" s="3"/>
      <c r="X79" s="3"/>
      <c r="Y79" s="3"/>
      <c r="Z79" s="3"/>
      <c r="AA79" s="3"/>
      <c r="AB79" s="3"/>
      <c r="AC79" s="3"/>
    </row>
    <row r="80">
      <c r="A80" s="70" t="s">
        <v>118</v>
      </c>
      <c r="B80" s="62" t="s">
        <v>71</v>
      </c>
      <c r="C80" s="62" t="s">
        <v>157</v>
      </c>
      <c r="D80" s="62"/>
      <c r="E80" s="62"/>
      <c r="F80" s="62"/>
      <c r="G80" s="63"/>
      <c r="H80" s="64"/>
      <c r="I80" s="64"/>
      <c r="J80" s="64"/>
      <c r="K80" s="64"/>
      <c r="L80" s="65"/>
      <c r="M80" s="3"/>
      <c r="N80" s="3"/>
      <c r="O80" s="3"/>
      <c r="P80" s="3"/>
      <c r="Q80" s="3"/>
      <c r="R80" s="3"/>
      <c r="S80" s="3"/>
      <c r="T80" s="3"/>
      <c r="U80" s="3"/>
      <c r="V80" s="3"/>
      <c r="W80" s="3"/>
      <c r="X80" s="3"/>
      <c r="Y80" s="3"/>
      <c r="Z80" s="3"/>
      <c r="AA80" s="3"/>
      <c r="AB80" s="3"/>
      <c r="AC80" s="3"/>
    </row>
    <row r="81">
      <c r="A81" s="70" t="s">
        <v>118</v>
      </c>
      <c r="B81" s="62" t="s">
        <v>20</v>
      </c>
      <c r="C81" s="62" t="s">
        <v>158</v>
      </c>
      <c r="D81" s="72"/>
      <c r="E81" s="62"/>
      <c r="F81" s="62"/>
      <c r="G81" s="63"/>
      <c r="H81" s="64"/>
      <c r="I81" s="64"/>
      <c r="J81" s="64"/>
      <c r="K81" s="64"/>
      <c r="L81" s="65"/>
      <c r="M81" s="3"/>
      <c r="N81" s="3"/>
      <c r="O81" s="3"/>
      <c r="P81" s="3"/>
      <c r="Q81" s="3"/>
      <c r="R81" s="3"/>
      <c r="S81" s="3"/>
      <c r="T81" s="3"/>
      <c r="U81" s="3"/>
      <c r="V81" s="3"/>
      <c r="W81" s="3"/>
      <c r="X81" s="3"/>
      <c r="Y81" s="3"/>
      <c r="Z81" s="3"/>
      <c r="AA81" s="3"/>
      <c r="AB81" s="3"/>
      <c r="AC81" s="3"/>
    </row>
    <row r="82">
      <c r="A82" s="70" t="s">
        <v>118</v>
      </c>
      <c r="B82" s="62" t="s">
        <v>71</v>
      </c>
      <c r="C82" s="62" t="s">
        <v>159</v>
      </c>
      <c r="D82" s="62"/>
      <c r="E82" s="62"/>
      <c r="F82" s="62"/>
      <c r="G82" s="63"/>
      <c r="H82" s="64"/>
      <c r="I82" s="64"/>
      <c r="J82" s="64"/>
      <c r="K82" s="64"/>
      <c r="L82" s="65"/>
      <c r="M82" s="3"/>
      <c r="N82" s="3"/>
      <c r="O82" s="3"/>
      <c r="P82" s="3"/>
      <c r="Q82" s="3"/>
      <c r="R82" s="3"/>
      <c r="S82" s="3"/>
      <c r="T82" s="3"/>
      <c r="U82" s="3"/>
      <c r="V82" s="3"/>
      <c r="W82" s="3"/>
      <c r="X82" s="3"/>
      <c r="Y82" s="3"/>
      <c r="Z82" s="3"/>
      <c r="AA82" s="3"/>
      <c r="AB82" s="3"/>
      <c r="AC82" s="3"/>
    </row>
    <row r="83">
      <c r="A83" s="61" t="s">
        <v>160</v>
      </c>
      <c r="B83" s="61" t="s">
        <v>88</v>
      </c>
      <c r="C83" s="61" t="s">
        <v>161</v>
      </c>
      <c r="D83" s="72"/>
      <c r="E83" s="62"/>
      <c r="F83" s="62"/>
      <c r="G83" s="63"/>
      <c r="H83" s="64"/>
      <c r="I83" s="64"/>
      <c r="J83" s="64"/>
      <c r="K83" s="64"/>
      <c r="L83" s="65"/>
      <c r="M83" s="3"/>
      <c r="N83" s="3"/>
      <c r="O83" s="3"/>
      <c r="P83" s="3"/>
      <c r="Q83" s="3"/>
      <c r="R83" s="3"/>
      <c r="S83" s="3"/>
      <c r="T83" s="3"/>
      <c r="U83" s="3"/>
      <c r="V83" s="3"/>
      <c r="W83" s="3"/>
      <c r="X83" s="3"/>
      <c r="Y83" s="3"/>
      <c r="Z83" s="3"/>
      <c r="AA83" s="3"/>
      <c r="AB83" s="3"/>
      <c r="AC83" s="3"/>
    </row>
    <row r="84">
      <c r="A84" s="73" t="s">
        <v>160</v>
      </c>
      <c r="B84" s="72" t="s">
        <v>20</v>
      </c>
      <c r="C84" s="72" t="s">
        <v>162</v>
      </c>
      <c r="D84" s="72"/>
      <c r="E84" s="62"/>
      <c r="F84" s="62"/>
      <c r="G84" s="63"/>
      <c r="H84" s="64"/>
      <c r="I84" s="64"/>
      <c r="J84" s="64"/>
      <c r="K84" s="64"/>
      <c r="L84" s="65"/>
      <c r="M84" s="3"/>
      <c r="N84" s="3"/>
      <c r="O84" s="3"/>
      <c r="P84" s="3"/>
      <c r="Q84" s="3"/>
      <c r="R84" s="3"/>
      <c r="S84" s="3"/>
      <c r="T84" s="3"/>
      <c r="U84" s="3"/>
      <c r="V84" s="3"/>
      <c r="W84" s="3"/>
      <c r="X84" s="3"/>
      <c r="Y84" s="3"/>
      <c r="Z84" s="3"/>
      <c r="AA84" s="3"/>
      <c r="AB84" s="3"/>
      <c r="AC84" s="3"/>
    </row>
    <row r="85">
      <c r="A85" s="73" t="s">
        <v>160</v>
      </c>
      <c r="B85" s="72" t="s">
        <v>140</v>
      </c>
      <c r="C85" s="72" t="s">
        <v>163</v>
      </c>
      <c r="D85" s="72"/>
      <c r="E85" s="62"/>
      <c r="F85" s="62"/>
      <c r="G85" s="63"/>
      <c r="H85" s="64"/>
      <c r="I85" s="64"/>
      <c r="J85" s="64"/>
      <c r="K85" s="64"/>
      <c r="L85" s="65"/>
      <c r="M85" s="3"/>
      <c r="N85" s="3"/>
      <c r="O85" s="3"/>
      <c r="P85" s="3"/>
      <c r="Q85" s="3"/>
      <c r="R85" s="3"/>
      <c r="S85" s="3"/>
      <c r="T85" s="3"/>
      <c r="U85" s="3"/>
      <c r="V85" s="3"/>
      <c r="W85" s="3"/>
      <c r="X85" s="3"/>
      <c r="Y85" s="3"/>
      <c r="Z85" s="3"/>
      <c r="AA85" s="3"/>
      <c r="AB85" s="3"/>
      <c r="AC85" s="3"/>
    </row>
    <row r="86">
      <c r="A86" s="73" t="s">
        <v>160</v>
      </c>
      <c r="B86" s="72" t="s">
        <v>20</v>
      </c>
      <c r="C86" s="72" t="s">
        <v>143</v>
      </c>
      <c r="D86" s="72"/>
      <c r="E86" s="62"/>
      <c r="F86" s="62"/>
      <c r="G86" s="63"/>
      <c r="H86" s="64"/>
      <c r="I86" s="64"/>
      <c r="J86" s="64"/>
      <c r="K86" s="64"/>
      <c r="L86" s="65"/>
      <c r="M86" s="3"/>
      <c r="N86" s="3"/>
      <c r="O86" s="3"/>
      <c r="P86" s="3"/>
      <c r="Q86" s="3"/>
      <c r="R86" s="3"/>
      <c r="S86" s="3"/>
      <c r="T86" s="3"/>
      <c r="U86" s="3"/>
      <c r="V86" s="3"/>
      <c r="W86" s="3"/>
      <c r="X86" s="3"/>
      <c r="Y86" s="3"/>
      <c r="Z86" s="3"/>
      <c r="AA86" s="3"/>
      <c r="AB86" s="3"/>
      <c r="AC86" s="3"/>
    </row>
    <row r="87">
      <c r="A87" s="73" t="s">
        <v>160</v>
      </c>
      <c r="B87" s="72" t="s">
        <v>140</v>
      </c>
      <c r="C87" s="72" t="s">
        <v>164</v>
      </c>
      <c r="D87" s="72"/>
      <c r="E87" s="62"/>
      <c r="F87" s="62"/>
      <c r="G87" s="63"/>
      <c r="H87" s="64"/>
      <c r="I87" s="64"/>
      <c r="J87" s="64"/>
      <c r="K87" s="64"/>
      <c r="L87" s="65"/>
      <c r="M87" s="3"/>
      <c r="N87" s="3"/>
      <c r="O87" s="3"/>
      <c r="P87" s="3"/>
      <c r="Q87" s="3"/>
      <c r="R87" s="3"/>
      <c r="S87" s="3"/>
      <c r="T87" s="3"/>
      <c r="U87" s="3"/>
      <c r="V87" s="3"/>
      <c r="W87" s="3"/>
      <c r="X87" s="3"/>
      <c r="Y87" s="3"/>
      <c r="Z87" s="3"/>
      <c r="AA87" s="3"/>
      <c r="AB87" s="3"/>
      <c r="AC87" s="3"/>
    </row>
    <row r="88">
      <c r="A88" s="73" t="s">
        <v>160</v>
      </c>
      <c r="B88" s="72" t="s">
        <v>140</v>
      </c>
      <c r="C88" s="72" t="s">
        <v>165</v>
      </c>
      <c r="D88" s="72"/>
      <c r="E88" s="62"/>
      <c r="F88" s="62"/>
      <c r="G88" s="63"/>
      <c r="H88" s="64"/>
      <c r="I88" s="64"/>
      <c r="J88" s="64"/>
      <c r="K88" s="64"/>
      <c r="L88" s="65"/>
      <c r="M88" s="3"/>
      <c r="N88" s="3"/>
      <c r="O88" s="3"/>
      <c r="P88" s="3"/>
      <c r="Q88" s="3"/>
      <c r="R88" s="3"/>
      <c r="S88" s="3"/>
      <c r="T88" s="3"/>
      <c r="U88" s="3"/>
      <c r="V88" s="3"/>
      <c r="W88" s="3"/>
      <c r="X88" s="3"/>
      <c r="Y88" s="3"/>
      <c r="Z88" s="3"/>
      <c r="AA88" s="3"/>
      <c r="AB88" s="3"/>
      <c r="AC88" s="3"/>
    </row>
    <row r="89">
      <c r="A89" s="73" t="s">
        <v>160</v>
      </c>
      <c r="B89" s="72" t="s">
        <v>140</v>
      </c>
      <c r="C89" s="72" t="s">
        <v>166</v>
      </c>
      <c r="D89" s="74"/>
      <c r="E89" s="61"/>
      <c r="F89" s="61"/>
      <c r="G89" s="66"/>
      <c r="H89" s="67"/>
      <c r="I89" s="67"/>
      <c r="J89" s="67"/>
      <c r="K89" s="67"/>
      <c r="L89" s="68"/>
      <c r="M89" s="69"/>
      <c r="N89" s="69"/>
      <c r="O89" s="69"/>
      <c r="P89" s="69"/>
      <c r="Q89" s="69"/>
      <c r="R89" s="69"/>
      <c r="S89" s="69"/>
      <c r="T89" s="69"/>
      <c r="U89" s="69"/>
      <c r="V89" s="69"/>
      <c r="W89" s="69"/>
      <c r="X89" s="69"/>
      <c r="Y89" s="69"/>
      <c r="Z89" s="69"/>
      <c r="AA89" s="69"/>
      <c r="AB89" s="69"/>
      <c r="AC89" s="69"/>
    </row>
    <row r="90">
      <c r="A90" s="75" t="s">
        <v>167</v>
      </c>
      <c r="B90" s="74" t="s">
        <v>88</v>
      </c>
      <c r="C90" s="74" t="s">
        <v>168</v>
      </c>
      <c r="D90" s="74"/>
      <c r="E90" s="61"/>
      <c r="F90" s="61"/>
      <c r="G90" s="66"/>
      <c r="H90" s="67"/>
      <c r="I90" s="67"/>
      <c r="J90" s="67"/>
      <c r="K90" s="67"/>
      <c r="L90" s="68"/>
      <c r="M90" s="69"/>
      <c r="N90" s="69"/>
      <c r="O90" s="69"/>
      <c r="P90" s="69"/>
      <c r="Q90" s="69"/>
      <c r="R90" s="69"/>
      <c r="S90" s="69"/>
      <c r="T90" s="69"/>
      <c r="U90" s="69"/>
      <c r="V90" s="69"/>
      <c r="W90" s="69"/>
      <c r="X90" s="69"/>
      <c r="Y90" s="69"/>
      <c r="Z90" s="69"/>
      <c r="AA90" s="69"/>
      <c r="AB90" s="69"/>
      <c r="AC90" s="69"/>
    </row>
    <row r="91">
      <c r="A91" s="73" t="s">
        <v>167</v>
      </c>
      <c r="B91" s="72" t="s">
        <v>20</v>
      </c>
      <c r="C91" s="72" t="s">
        <v>169</v>
      </c>
      <c r="D91" s="72"/>
      <c r="E91" s="62"/>
      <c r="F91" s="62"/>
      <c r="G91" s="63"/>
      <c r="H91" s="64"/>
      <c r="I91" s="64"/>
      <c r="J91" s="64"/>
      <c r="K91" s="64"/>
      <c r="L91" s="65"/>
      <c r="M91" s="3"/>
      <c r="N91" s="3"/>
      <c r="O91" s="3"/>
      <c r="P91" s="3"/>
      <c r="Q91" s="3"/>
      <c r="R91" s="3"/>
      <c r="S91" s="3"/>
      <c r="T91" s="3"/>
      <c r="U91" s="3"/>
      <c r="V91" s="3"/>
      <c r="W91" s="3"/>
      <c r="X91" s="3"/>
      <c r="Y91" s="3"/>
      <c r="Z91" s="3"/>
      <c r="AA91" s="3"/>
      <c r="AB91" s="3"/>
      <c r="AC91" s="3"/>
    </row>
    <row r="92">
      <c r="A92" s="73" t="s">
        <v>167</v>
      </c>
      <c r="B92" s="72" t="s">
        <v>20</v>
      </c>
      <c r="C92" s="72" t="s">
        <v>170</v>
      </c>
      <c r="D92" s="72"/>
      <c r="E92" s="62"/>
      <c r="F92" s="62"/>
      <c r="G92" s="63"/>
      <c r="H92" s="64"/>
      <c r="I92" s="64"/>
      <c r="J92" s="64"/>
      <c r="K92" s="64"/>
      <c r="L92" s="65"/>
      <c r="M92" s="3"/>
      <c r="N92" s="3"/>
      <c r="O92" s="3"/>
      <c r="P92" s="3"/>
      <c r="Q92" s="3"/>
      <c r="R92" s="3"/>
      <c r="S92" s="3"/>
      <c r="T92" s="3"/>
      <c r="U92" s="3"/>
      <c r="V92" s="3"/>
      <c r="W92" s="3"/>
      <c r="X92" s="3"/>
      <c r="Y92" s="3"/>
      <c r="Z92" s="3"/>
      <c r="AA92" s="3"/>
      <c r="AB92" s="3"/>
      <c r="AC92" s="3"/>
    </row>
    <row r="93">
      <c r="A93" s="73" t="s">
        <v>167</v>
      </c>
      <c r="B93" s="72" t="s">
        <v>71</v>
      </c>
      <c r="C93" s="72" t="s">
        <v>171</v>
      </c>
      <c r="D93" s="72"/>
      <c r="E93" s="62"/>
      <c r="F93" s="62"/>
      <c r="G93" s="63"/>
      <c r="H93" s="64"/>
      <c r="I93" s="64"/>
      <c r="J93" s="64"/>
      <c r="K93" s="64"/>
      <c r="L93" s="65"/>
      <c r="M93" s="3"/>
      <c r="N93" s="3"/>
      <c r="O93" s="3"/>
      <c r="P93" s="3"/>
      <c r="Q93" s="3"/>
      <c r="R93" s="3"/>
      <c r="S93" s="3"/>
      <c r="T93" s="3"/>
      <c r="U93" s="3"/>
      <c r="V93" s="3"/>
      <c r="W93" s="3"/>
      <c r="X93" s="3"/>
      <c r="Y93" s="3"/>
      <c r="Z93" s="3"/>
      <c r="AA93" s="3"/>
      <c r="AB93" s="3"/>
      <c r="AC93" s="3"/>
    </row>
    <row r="94">
      <c r="A94" s="73" t="s">
        <v>167</v>
      </c>
      <c r="B94" s="72" t="s">
        <v>20</v>
      </c>
      <c r="C94" s="72" t="s">
        <v>172</v>
      </c>
      <c r="D94" s="72"/>
      <c r="E94" s="62"/>
      <c r="F94" s="62"/>
      <c r="G94" s="63"/>
      <c r="H94" s="64"/>
      <c r="I94" s="64"/>
      <c r="J94" s="64"/>
      <c r="K94" s="64"/>
      <c r="L94" s="65"/>
      <c r="M94" s="3"/>
      <c r="N94" s="3"/>
      <c r="O94" s="3"/>
      <c r="P94" s="3"/>
      <c r="Q94" s="3"/>
      <c r="R94" s="3"/>
      <c r="S94" s="3"/>
      <c r="T94" s="3"/>
      <c r="U94" s="3"/>
      <c r="V94" s="3"/>
      <c r="W94" s="3"/>
      <c r="X94" s="3"/>
      <c r="Y94" s="3"/>
      <c r="Z94" s="3"/>
      <c r="AA94" s="3"/>
      <c r="AB94" s="3"/>
      <c r="AC94" s="3"/>
    </row>
    <row r="95">
      <c r="A95" s="73" t="s">
        <v>167</v>
      </c>
      <c r="B95" s="72" t="s">
        <v>71</v>
      </c>
      <c r="C95" s="72" t="s">
        <v>173</v>
      </c>
      <c r="D95" s="74"/>
      <c r="E95" s="61"/>
      <c r="F95" s="61"/>
      <c r="G95" s="66"/>
      <c r="H95" s="67"/>
      <c r="I95" s="67"/>
      <c r="J95" s="67"/>
      <c r="K95" s="67"/>
      <c r="L95" s="68"/>
      <c r="M95" s="69"/>
      <c r="N95" s="69"/>
      <c r="O95" s="69"/>
      <c r="P95" s="69"/>
      <c r="Q95" s="69"/>
      <c r="R95" s="69"/>
      <c r="S95" s="69"/>
      <c r="T95" s="69"/>
      <c r="U95" s="69"/>
      <c r="V95" s="69"/>
      <c r="W95" s="69"/>
      <c r="X95" s="69"/>
      <c r="Y95" s="69"/>
      <c r="Z95" s="69"/>
      <c r="AA95" s="69"/>
      <c r="AB95" s="69"/>
      <c r="AC95" s="69"/>
    </row>
    <row r="96">
      <c r="A96" s="75" t="s">
        <v>174</v>
      </c>
      <c r="B96" s="74" t="s">
        <v>88</v>
      </c>
      <c r="C96" s="74" t="s">
        <v>175</v>
      </c>
      <c r="D96" s="74"/>
      <c r="E96" s="61"/>
      <c r="F96" s="61"/>
      <c r="G96" s="66"/>
      <c r="H96" s="67"/>
      <c r="I96" s="67"/>
      <c r="J96" s="67"/>
      <c r="K96" s="67"/>
      <c r="L96" s="68"/>
      <c r="M96" s="69"/>
      <c r="N96" s="69"/>
      <c r="O96" s="69"/>
      <c r="P96" s="69"/>
      <c r="Q96" s="69"/>
      <c r="R96" s="69"/>
      <c r="S96" s="69"/>
      <c r="T96" s="69"/>
      <c r="U96" s="69"/>
      <c r="V96" s="69"/>
      <c r="W96" s="69"/>
      <c r="X96" s="69"/>
      <c r="Y96" s="69"/>
      <c r="Z96" s="69"/>
      <c r="AA96" s="69"/>
      <c r="AB96" s="69"/>
      <c r="AC96" s="69"/>
    </row>
    <row r="97">
      <c r="A97" s="73" t="s">
        <v>174</v>
      </c>
      <c r="B97" s="72" t="s">
        <v>20</v>
      </c>
      <c r="C97" s="72" t="s">
        <v>176</v>
      </c>
      <c r="D97" s="74"/>
      <c r="E97" s="61"/>
      <c r="F97" s="61"/>
      <c r="G97" s="66"/>
      <c r="H97" s="67"/>
      <c r="I97" s="67"/>
      <c r="J97" s="67"/>
      <c r="K97" s="67"/>
      <c r="L97" s="68"/>
      <c r="M97" s="69"/>
      <c r="N97" s="69"/>
      <c r="O97" s="69"/>
      <c r="P97" s="69"/>
      <c r="Q97" s="69"/>
      <c r="R97" s="69"/>
      <c r="S97" s="69"/>
      <c r="T97" s="69"/>
      <c r="U97" s="69"/>
      <c r="V97" s="69"/>
      <c r="W97" s="69"/>
      <c r="X97" s="69"/>
      <c r="Y97" s="69"/>
      <c r="Z97" s="69"/>
      <c r="AA97" s="69"/>
      <c r="AB97" s="69"/>
      <c r="AC97" s="69"/>
    </row>
    <row r="98">
      <c r="A98" s="73" t="s">
        <v>174</v>
      </c>
      <c r="B98" s="72" t="s">
        <v>20</v>
      </c>
      <c r="C98" s="72" t="s">
        <v>170</v>
      </c>
      <c r="D98" s="74"/>
      <c r="E98" s="61"/>
      <c r="F98" s="61"/>
      <c r="G98" s="66"/>
      <c r="H98" s="67"/>
      <c r="I98" s="67"/>
      <c r="J98" s="67"/>
      <c r="K98" s="67"/>
      <c r="L98" s="68"/>
      <c r="M98" s="69"/>
      <c r="N98" s="69"/>
      <c r="O98" s="69"/>
      <c r="P98" s="69"/>
      <c r="Q98" s="69"/>
      <c r="R98" s="69"/>
      <c r="S98" s="69"/>
      <c r="T98" s="69"/>
      <c r="U98" s="69"/>
      <c r="V98" s="69"/>
      <c r="W98" s="69"/>
      <c r="X98" s="69"/>
      <c r="Y98" s="69"/>
      <c r="Z98" s="69"/>
      <c r="AA98" s="69"/>
      <c r="AB98" s="69"/>
      <c r="AC98" s="69"/>
    </row>
    <row r="99">
      <c r="A99" s="73" t="s">
        <v>174</v>
      </c>
      <c r="B99" s="72" t="s">
        <v>71</v>
      </c>
      <c r="C99" s="72" t="s">
        <v>177</v>
      </c>
      <c r="D99" s="74"/>
      <c r="E99" s="61"/>
      <c r="F99" s="61"/>
      <c r="G99" s="66"/>
      <c r="H99" s="67"/>
      <c r="I99" s="67"/>
      <c r="J99" s="67"/>
      <c r="K99" s="67"/>
      <c r="L99" s="68"/>
      <c r="M99" s="69"/>
      <c r="N99" s="69"/>
      <c r="O99" s="69"/>
      <c r="P99" s="69"/>
      <c r="Q99" s="69"/>
      <c r="R99" s="69"/>
      <c r="S99" s="69"/>
      <c r="T99" s="69"/>
      <c r="U99" s="69"/>
      <c r="V99" s="69"/>
      <c r="W99" s="69"/>
      <c r="X99" s="69"/>
      <c r="Y99" s="69"/>
      <c r="Z99" s="69"/>
      <c r="AA99" s="69"/>
      <c r="AB99" s="69"/>
      <c r="AC99" s="69"/>
    </row>
    <row r="100">
      <c r="A100" s="73" t="s">
        <v>174</v>
      </c>
      <c r="B100" s="72" t="s">
        <v>20</v>
      </c>
      <c r="C100" s="72" t="s">
        <v>172</v>
      </c>
      <c r="D100" s="74"/>
      <c r="E100" s="61"/>
      <c r="F100" s="61"/>
      <c r="G100" s="66"/>
      <c r="H100" s="67"/>
      <c r="I100" s="67"/>
      <c r="J100" s="67"/>
      <c r="K100" s="67"/>
      <c r="L100" s="68"/>
      <c r="M100" s="69"/>
      <c r="N100" s="69"/>
      <c r="O100" s="69"/>
      <c r="P100" s="69"/>
      <c r="Q100" s="69"/>
      <c r="R100" s="69"/>
      <c r="S100" s="69"/>
      <c r="T100" s="69"/>
      <c r="U100" s="69"/>
      <c r="V100" s="69"/>
      <c r="W100" s="69"/>
      <c r="X100" s="69"/>
      <c r="Y100" s="69"/>
      <c r="Z100" s="69"/>
      <c r="AA100" s="69"/>
      <c r="AB100" s="69"/>
      <c r="AC100" s="69"/>
    </row>
    <row r="101">
      <c r="A101" s="73" t="s">
        <v>174</v>
      </c>
      <c r="B101" s="72" t="s">
        <v>71</v>
      </c>
      <c r="C101" s="76" t="s">
        <v>178</v>
      </c>
      <c r="D101" s="74"/>
      <c r="E101" s="61"/>
      <c r="F101" s="61"/>
      <c r="G101" s="66"/>
      <c r="H101" s="67"/>
      <c r="I101" s="67"/>
      <c r="J101" s="67"/>
      <c r="K101" s="67"/>
      <c r="L101" s="68"/>
      <c r="M101" s="69"/>
      <c r="N101" s="69"/>
      <c r="O101" s="69"/>
      <c r="P101" s="69"/>
      <c r="Q101" s="69"/>
      <c r="R101" s="69"/>
      <c r="S101" s="69"/>
      <c r="T101" s="69"/>
      <c r="U101" s="69"/>
      <c r="V101" s="69"/>
      <c r="W101" s="69"/>
      <c r="X101" s="69"/>
      <c r="Y101" s="69"/>
      <c r="Z101" s="69"/>
      <c r="AA101" s="69"/>
      <c r="AB101" s="69"/>
      <c r="AC101" s="69"/>
    </row>
    <row r="102">
      <c r="A102" s="73" t="s">
        <v>174</v>
      </c>
      <c r="B102" s="76" t="s">
        <v>20</v>
      </c>
      <c r="C102" s="76" t="s">
        <v>179</v>
      </c>
      <c r="D102" s="74"/>
      <c r="E102" s="61"/>
      <c r="F102" s="61"/>
      <c r="G102" s="66"/>
      <c r="H102" s="67"/>
      <c r="I102" s="67"/>
      <c r="J102" s="67"/>
      <c r="K102" s="67"/>
      <c r="L102" s="68"/>
      <c r="M102" s="69"/>
      <c r="N102" s="69"/>
      <c r="O102" s="69"/>
      <c r="P102" s="69"/>
      <c r="Q102" s="69"/>
      <c r="R102" s="69"/>
      <c r="S102" s="69"/>
      <c r="T102" s="69"/>
      <c r="U102" s="69"/>
      <c r="V102" s="69"/>
      <c r="W102" s="69"/>
      <c r="X102" s="69"/>
      <c r="Y102" s="69"/>
      <c r="Z102" s="69"/>
      <c r="AA102" s="69"/>
      <c r="AB102" s="69"/>
      <c r="AC102" s="69"/>
    </row>
    <row r="103">
      <c r="A103" s="73" t="s">
        <v>174</v>
      </c>
      <c r="B103" s="76" t="s">
        <v>71</v>
      </c>
      <c r="C103" s="76" t="s">
        <v>180</v>
      </c>
      <c r="D103" s="74"/>
      <c r="E103" s="61"/>
      <c r="F103" s="61"/>
      <c r="G103" s="66"/>
      <c r="H103" s="67"/>
      <c r="I103" s="67"/>
      <c r="J103" s="67"/>
      <c r="K103" s="67"/>
      <c r="L103" s="68"/>
      <c r="M103" s="69"/>
      <c r="N103" s="69"/>
      <c r="O103" s="69"/>
      <c r="P103" s="69"/>
      <c r="Q103" s="69"/>
      <c r="R103" s="69"/>
      <c r="S103" s="69"/>
      <c r="T103" s="69"/>
      <c r="U103" s="69"/>
      <c r="V103" s="69"/>
      <c r="W103" s="69"/>
      <c r="X103" s="69"/>
      <c r="Y103" s="69"/>
      <c r="Z103" s="69"/>
      <c r="AA103" s="69"/>
      <c r="AB103" s="69"/>
      <c r="AC103" s="69"/>
    </row>
    <row r="104">
      <c r="A104" s="75" t="s">
        <v>181</v>
      </c>
      <c r="B104" s="74" t="s">
        <v>88</v>
      </c>
      <c r="C104" s="74" t="s">
        <v>182</v>
      </c>
      <c r="D104" s="74"/>
      <c r="E104" s="61"/>
      <c r="F104" s="61"/>
      <c r="G104" s="66"/>
      <c r="H104" s="67"/>
      <c r="I104" s="67"/>
      <c r="J104" s="67"/>
      <c r="K104" s="67"/>
      <c r="L104" s="68"/>
      <c r="M104" s="69"/>
      <c r="N104" s="69"/>
      <c r="O104" s="69"/>
      <c r="P104" s="69"/>
      <c r="Q104" s="69"/>
      <c r="R104" s="69"/>
      <c r="S104" s="69"/>
      <c r="T104" s="69"/>
      <c r="U104" s="69"/>
      <c r="V104" s="69"/>
      <c r="W104" s="69"/>
      <c r="X104" s="69"/>
      <c r="Y104" s="69"/>
      <c r="Z104" s="69"/>
      <c r="AA104" s="69"/>
      <c r="AB104" s="69"/>
      <c r="AC104" s="69"/>
    </row>
    <row r="105">
      <c r="A105" s="73" t="s">
        <v>181</v>
      </c>
      <c r="B105" s="72" t="s">
        <v>20</v>
      </c>
      <c r="C105" s="72" t="s">
        <v>183</v>
      </c>
      <c r="D105" s="72"/>
      <c r="E105" s="62"/>
      <c r="F105" s="62"/>
      <c r="G105" s="63"/>
      <c r="H105" s="64"/>
      <c r="I105" s="64"/>
      <c r="J105" s="64"/>
      <c r="K105" s="64"/>
      <c r="L105" s="65"/>
      <c r="M105" s="3"/>
      <c r="N105" s="3"/>
      <c r="O105" s="3"/>
      <c r="P105" s="3"/>
      <c r="Q105" s="3"/>
      <c r="R105" s="3"/>
      <c r="S105" s="3"/>
      <c r="T105" s="3"/>
      <c r="U105" s="3"/>
      <c r="V105" s="3"/>
      <c r="W105" s="3"/>
      <c r="X105" s="3"/>
      <c r="Y105" s="3"/>
      <c r="Z105" s="3"/>
      <c r="AA105" s="3"/>
      <c r="AB105" s="3"/>
      <c r="AC105" s="3"/>
    </row>
    <row r="106">
      <c r="A106" s="73" t="s">
        <v>181</v>
      </c>
      <c r="B106" s="72" t="s">
        <v>71</v>
      </c>
      <c r="C106" s="72" t="s">
        <v>184</v>
      </c>
      <c r="D106" s="72"/>
      <c r="E106" s="62"/>
      <c r="F106" s="62"/>
      <c r="G106" s="63"/>
      <c r="H106" s="64"/>
      <c r="I106" s="64"/>
      <c r="J106" s="64"/>
      <c r="K106" s="64"/>
      <c r="L106" s="77"/>
      <c r="M106" s="3"/>
      <c r="N106" s="3"/>
      <c r="O106" s="3"/>
      <c r="P106" s="3"/>
      <c r="Q106" s="3"/>
      <c r="R106" s="3"/>
      <c r="S106" s="3"/>
      <c r="T106" s="3"/>
      <c r="U106" s="3"/>
      <c r="V106" s="3"/>
      <c r="W106" s="3"/>
      <c r="X106" s="3"/>
      <c r="Y106" s="3"/>
      <c r="Z106" s="3"/>
      <c r="AA106" s="3"/>
      <c r="AB106" s="3"/>
      <c r="AC106" s="3"/>
    </row>
    <row r="107">
      <c r="A107" s="73" t="s">
        <v>181</v>
      </c>
      <c r="B107" s="72" t="s">
        <v>20</v>
      </c>
      <c r="C107" s="72" t="s">
        <v>185</v>
      </c>
      <c r="D107" s="72"/>
      <c r="E107" s="62"/>
      <c r="F107" s="62"/>
      <c r="G107" s="63"/>
      <c r="H107" s="64"/>
      <c r="I107" s="64"/>
      <c r="J107" s="64"/>
      <c r="K107" s="64"/>
      <c r="L107" s="77"/>
      <c r="M107" s="3"/>
      <c r="N107" s="3"/>
      <c r="O107" s="3"/>
      <c r="P107" s="3"/>
      <c r="Q107" s="3"/>
      <c r="R107" s="3"/>
      <c r="S107" s="3"/>
      <c r="T107" s="3"/>
      <c r="U107" s="3"/>
      <c r="V107" s="3"/>
      <c r="W107" s="3"/>
      <c r="X107" s="3"/>
      <c r="Y107" s="3"/>
      <c r="Z107" s="3"/>
      <c r="AA107" s="3"/>
      <c r="AB107" s="3"/>
      <c r="AC107" s="3"/>
    </row>
    <row r="108">
      <c r="A108" s="73" t="s">
        <v>181</v>
      </c>
      <c r="B108" s="72" t="s">
        <v>20</v>
      </c>
      <c r="C108" s="72" t="s">
        <v>186</v>
      </c>
      <c r="D108" s="72"/>
      <c r="E108" s="62"/>
      <c r="F108" s="62"/>
      <c r="G108" s="63"/>
      <c r="H108" s="64"/>
      <c r="I108" s="64"/>
      <c r="J108" s="64"/>
      <c r="K108" s="64"/>
      <c r="L108" s="77"/>
      <c r="M108" s="3"/>
      <c r="N108" s="3"/>
      <c r="O108" s="3"/>
      <c r="P108" s="3"/>
      <c r="Q108" s="3"/>
      <c r="R108" s="3"/>
      <c r="S108" s="3"/>
      <c r="T108" s="3"/>
      <c r="U108" s="3"/>
      <c r="V108" s="3"/>
      <c r="W108" s="3"/>
      <c r="X108" s="3"/>
      <c r="Y108" s="3"/>
      <c r="Z108" s="3"/>
      <c r="AA108" s="3"/>
      <c r="AB108" s="3"/>
      <c r="AC108" s="3"/>
    </row>
    <row r="109">
      <c r="A109" s="75" t="s">
        <v>187</v>
      </c>
      <c r="B109" s="74" t="s">
        <v>88</v>
      </c>
      <c r="C109" s="74" t="s">
        <v>188</v>
      </c>
      <c r="D109" s="74"/>
      <c r="E109" s="61"/>
      <c r="F109" s="61"/>
      <c r="G109" s="66"/>
      <c r="H109" s="67"/>
      <c r="I109" s="67"/>
      <c r="J109" s="67"/>
      <c r="K109" s="67"/>
      <c r="L109" s="78"/>
      <c r="M109" s="69"/>
      <c r="N109" s="69"/>
      <c r="O109" s="69"/>
      <c r="P109" s="69"/>
      <c r="Q109" s="69"/>
      <c r="R109" s="69"/>
      <c r="S109" s="69"/>
      <c r="T109" s="69"/>
      <c r="U109" s="69"/>
      <c r="V109" s="69"/>
      <c r="W109" s="69"/>
      <c r="X109" s="69"/>
      <c r="Y109" s="69"/>
      <c r="Z109" s="69"/>
      <c r="AA109" s="69"/>
      <c r="AB109" s="69"/>
      <c r="AC109" s="69"/>
    </row>
    <row r="110">
      <c r="A110" s="73" t="s">
        <v>187</v>
      </c>
      <c r="B110" s="72" t="s">
        <v>20</v>
      </c>
      <c r="C110" s="72" t="s">
        <v>189</v>
      </c>
      <c r="D110" s="72"/>
      <c r="E110" s="62"/>
      <c r="F110" s="62"/>
      <c r="G110" s="63"/>
      <c r="H110" s="64"/>
      <c r="I110" s="64"/>
      <c r="J110" s="64"/>
      <c r="K110" s="64"/>
      <c r="L110" s="77"/>
      <c r="M110" s="3"/>
      <c r="N110" s="3"/>
      <c r="O110" s="3"/>
      <c r="P110" s="3"/>
      <c r="Q110" s="3"/>
      <c r="R110" s="3"/>
      <c r="S110" s="3"/>
      <c r="T110" s="3"/>
      <c r="U110" s="3"/>
      <c r="V110" s="3"/>
      <c r="W110" s="3"/>
      <c r="X110" s="3"/>
      <c r="Y110" s="3"/>
      <c r="Z110" s="3"/>
      <c r="AA110" s="3"/>
      <c r="AB110" s="3"/>
      <c r="AC110" s="3"/>
    </row>
    <row r="111">
      <c r="A111" s="73" t="s">
        <v>187</v>
      </c>
      <c r="B111" s="72" t="s">
        <v>71</v>
      </c>
      <c r="C111" s="72" t="s">
        <v>190</v>
      </c>
      <c r="D111" s="72" t="s">
        <v>191</v>
      </c>
      <c r="E111" s="62"/>
      <c r="F111" s="62"/>
      <c r="G111" s="63"/>
      <c r="H111" s="64"/>
      <c r="I111" s="64"/>
      <c r="J111" s="64"/>
      <c r="K111" s="64"/>
      <c r="L111" s="77"/>
      <c r="M111" s="3"/>
      <c r="N111" s="3"/>
      <c r="O111" s="3"/>
      <c r="P111" s="3"/>
      <c r="Q111" s="3"/>
      <c r="R111" s="3"/>
      <c r="S111" s="3"/>
      <c r="T111" s="3"/>
      <c r="U111" s="3"/>
      <c r="V111" s="3"/>
      <c r="W111" s="3"/>
      <c r="X111" s="3"/>
      <c r="Y111" s="3"/>
      <c r="Z111" s="3"/>
      <c r="AA111" s="3"/>
      <c r="AB111" s="3"/>
      <c r="AC111" s="3"/>
    </row>
    <row r="112">
      <c r="A112" s="73" t="s">
        <v>187</v>
      </c>
      <c r="B112" s="72" t="s">
        <v>71</v>
      </c>
      <c r="C112" s="72" t="s">
        <v>192</v>
      </c>
      <c r="D112" s="72"/>
      <c r="E112" s="62"/>
      <c r="F112" s="62"/>
      <c r="G112" s="63"/>
      <c r="H112" s="64"/>
      <c r="I112" s="64"/>
      <c r="J112" s="64"/>
      <c r="K112" s="64"/>
      <c r="L112" s="77"/>
      <c r="M112" s="3"/>
      <c r="N112" s="3"/>
      <c r="O112" s="3"/>
      <c r="P112" s="3"/>
      <c r="Q112" s="3"/>
      <c r="R112" s="3"/>
      <c r="S112" s="3"/>
      <c r="T112" s="3"/>
      <c r="U112" s="3"/>
      <c r="V112" s="3"/>
      <c r="W112" s="3"/>
      <c r="X112" s="3"/>
      <c r="Y112" s="3"/>
      <c r="Z112" s="3"/>
      <c r="AA112" s="3"/>
      <c r="AB112" s="3"/>
      <c r="AC112" s="3"/>
    </row>
    <row r="113">
      <c r="A113" s="70" t="s">
        <v>193</v>
      </c>
      <c r="B113" s="61" t="s">
        <v>88</v>
      </c>
      <c r="C113" s="61" t="s">
        <v>194</v>
      </c>
      <c r="D113" s="62"/>
      <c r="E113" s="62"/>
      <c r="F113" s="62"/>
      <c r="G113" s="63"/>
      <c r="H113" s="64"/>
      <c r="I113" s="64"/>
      <c r="J113" s="64"/>
      <c r="K113" s="64"/>
      <c r="L113" s="77"/>
      <c r="M113" s="3"/>
      <c r="N113" s="3"/>
      <c r="O113" s="3"/>
      <c r="P113" s="3"/>
      <c r="Q113" s="3"/>
      <c r="R113" s="3"/>
      <c r="S113" s="3"/>
      <c r="T113" s="3"/>
      <c r="U113" s="3"/>
      <c r="V113" s="3"/>
      <c r="W113" s="3"/>
      <c r="X113" s="3"/>
      <c r="Y113" s="3"/>
      <c r="Z113" s="3"/>
      <c r="AA113" s="3"/>
      <c r="AB113" s="3"/>
      <c r="AC113" s="3"/>
    </row>
    <row r="114">
      <c r="A114" s="60" t="s">
        <v>195</v>
      </c>
      <c r="B114" s="61" t="s">
        <v>88</v>
      </c>
      <c r="C114" s="74" t="s">
        <v>196</v>
      </c>
      <c r="D114" s="61"/>
      <c r="E114" s="61"/>
      <c r="F114" s="61"/>
      <c r="G114" s="66"/>
      <c r="H114" s="67"/>
      <c r="I114" s="67"/>
      <c r="J114" s="67"/>
      <c r="K114" s="67"/>
      <c r="L114" s="78"/>
      <c r="M114" s="69"/>
      <c r="N114" s="69"/>
      <c r="O114" s="69"/>
      <c r="P114" s="69"/>
      <c r="Q114" s="69"/>
      <c r="R114" s="69"/>
      <c r="S114" s="69"/>
      <c r="T114" s="69"/>
      <c r="U114" s="69"/>
      <c r="V114" s="69"/>
      <c r="W114" s="69"/>
      <c r="X114" s="69"/>
      <c r="Y114" s="69"/>
      <c r="Z114" s="69"/>
      <c r="AA114" s="69"/>
      <c r="AB114" s="69"/>
      <c r="AC114" s="69"/>
    </row>
    <row r="115">
      <c r="A115" s="79" t="s">
        <v>195</v>
      </c>
      <c r="B115" s="72" t="s">
        <v>20</v>
      </c>
      <c r="C115" s="72" t="s">
        <v>197</v>
      </c>
      <c r="D115" s="72"/>
      <c r="E115" s="72"/>
      <c r="F115" s="72"/>
      <c r="G115" s="80"/>
      <c r="H115" s="81"/>
      <c r="I115" s="81"/>
      <c r="J115" s="81"/>
      <c r="K115" s="81"/>
      <c r="L115" s="82"/>
      <c r="M115" s="3"/>
      <c r="N115" s="3"/>
      <c r="O115" s="3"/>
      <c r="P115" s="3"/>
      <c r="Q115" s="3"/>
      <c r="R115" s="3"/>
      <c r="S115" s="3"/>
      <c r="T115" s="3"/>
      <c r="U115" s="3"/>
      <c r="V115" s="3"/>
      <c r="W115" s="3"/>
      <c r="X115" s="3"/>
      <c r="Y115" s="3"/>
      <c r="Z115" s="3"/>
      <c r="AA115" s="3"/>
      <c r="AB115" s="3"/>
      <c r="AC115" s="3"/>
    </row>
    <row r="116">
      <c r="A116" s="79" t="s">
        <v>195</v>
      </c>
      <c r="B116" s="72" t="s">
        <v>71</v>
      </c>
      <c r="C116" s="72" t="s">
        <v>198</v>
      </c>
      <c r="D116" s="72"/>
      <c r="E116" s="72"/>
      <c r="F116" s="72"/>
      <c r="G116" s="80"/>
      <c r="H116" s="81"/>
      <c r="I116" s="81"/>
      <c r="J116" s="81"/>
      <c r="K116" s="81"/>
      <c r="L116" s="82"/>
      <c r="M116" s="3"/>
      <c r="N116" s="3"/>
      <c r="O116" s="3"/>
      <c r="P116" s="3"/>
      <c r="Q116" s="3"/>
      <c r="R116" s="3"/>
      <c r="S116" s="3"/>
      <c r="T116" s="3"/>
      <c r="U116" s="3"/>
      <c r="V116" s="3"/>
      <c r="W116" s="3"/>
      <c r="X116" s="3"/>
      <c r="Y116" s="3"/>
      <c r="Z116" s="3"/>
      <c r="AA116" s="3"/>
      <c r="AB116" s="3"/>
      <c r="AC116" s="3"/>
    </row>
    <row r="117">
      <c r="A117" s="79" t="s">
        <v>195</v>
      </c>
      <c r="B117" s="72" t="s">
        <v>20</v>
      </c>
      <c r="C117" s="72" t="s">
        <v>199</v>
      </c>
      <c r="D117" s="72"/>
      <c r="E117" s="72"/>
      <c r="F117" s="72"/>
      <c r="G117" s="80"/>
      <c r="H117" s="81"/>
      <c r="I117" s="81"/>
      <c r="J117" s="81"/>
      <c r="K117" s="81"/>
      <c r="L117" s="82"/>
      <c r="M117" s="3"/>
      <c r="N117" s="3"/>
      <c r="O117" s="3"/>
      <c r="P117" s="3"/>
      <c r="Q117" s="3"/>
      <c r="R117" s="3"/>
      <c r="S117" s="3"/>
      <c r="T117" s="3"/>
      <c r="U117" s="3"/>
      <c r="V117" s="3"/>
      <c r="W117" s="3"/>
      <c r="X117" s="3"/>
      <c r="Y117" s="3"/>
      <c r="Z117" s="3"/>
      <c r="AA117" s="3"/>
      <c r="AB117" s="3"/>
      <c r="AC117" s="3"/>
    </row>
    <row r="118">
      <c r="A118" s="79" t="s">
        <v>195</v>
      </c>
      <c r="B118" s="72" t="s">
        <v>71</v>
      </c>
      <c r="C118" s="72" t="s">
        <v>200</v>
      </c>
      <c r="D118" s="72"/>
      <c r="E118" s="72"/>
      <c r="F118" s="72"/>
      <c r="G118" s="80"/>
      <c r="H118" s="81"/>
      <c r="I118" s="81"/>
      <c r="J118" s="81"/>
      <c r="K118" s="81"/>
      <c r="L118" s="82"/>
      <c r="M118" s="3"/>
      <c r="N118" s="3"/>
      <c r="O118" s="3"/>
      <c r="P118" s="3"/>
      <c r="Q118" s="3"/>
      <c r="R118" s="3"/>
      <c r="S118" s="3"/>
      <c r="T118" s="3"/>
      <c r="U118" s="3"/>
      <c r="V118" s="3"/>
      <c r="W118" s="3"/>
      <c r="X118" s="3"/>
      <c r="Y118" s="3"/>
      <c r="Z118" s="3"/>
      <c r="AA118" s="3"/>
      <c r="AB118" s="3"/>
      <c r="AC118" s="3"/>
    </row>
    <row r="119">
      <c r="A119" s="79" t="s">
        <v>195</v>
      </c>
      <c r="B119" s="72" t="s">
        <v>71</v>
      </c>
      <c r="C119" s="72" t="s">
        <v>201</v>
      </c>
      <c r="D119" s="72"/>
      <c r="E119" s="72"/>
      <c r="F119" s="72"/>
      <c r="G119" s="80"/>
      <c r="H119" s="81"/>
      <c r="I119" s="81"/>
      <c r="J119" s="81"/>
      <c r="K119" s="81"/>
      <c r="L119" s="82"/>
      <c r="M119" s="3"/>
      <c r="N119" s="3"/>
      <c r="O119" s="3"/>
      <c r="P119" s="3"/>
      <c r="Q119" s="3"/>
      <c r="R119" s="3"/>
      <c r="S119" s="3"/>
      <c r="T119" s="3"/>
      <c r="U119" s="3"/>
      <c r="V119" s="3"/>
      <c r="W119" s="3"/>
      <c r="X119" s="3"/>
      <c r="Y119" s="3"/>
      <c r="Z119" s="3"/>
      <c r="AA119" s="3"/>
      <c r="AB119" s="3"/>
      <c r="AC119" s="3"/>
    </row>
    <row r="120">
      <c r="A120" s="79" t="s">
        <v>195</v>
      </c>
      <c r="B120" s="72" t="s">
        <v>71</v>
      </c>
      <c r="C120" s="72" t="s">
        <v>202</v>
      </c>
      <c r="D120" s="72"/>
      <c r="E120" s="72"/>
      <c r="F120" s="72"/>
      <c r="G120" s="80"/>
      <c r="H120" s="81"/>
      <c r="I120" s="81"/>
      <c r="J120" s="81"/>
      <c r="K120" s="81"/>
      <c r="L120" s="82"/>
      <c r="M120" s="3"/>
      <c r="N120" s="3"/>
      <c r="O120" s="3"/>
      <c r="P120" s="3"/>
      <c r="Q120" s="3"/>
      <c r="R120" s="3"/>
      <c r="S120" s="3"/>
      <c r="T120" s="3"/>
      <c r="U120" s="3"/>
      <c r="V120" s="3"/>
      <c r="W120" s="3"/>
      <c r="X120" s="3"/>
      <c r="Y120" s="3"/>
      <c r="Z120" s="3"/>
      <c r="AA120" s="3"/>
      <c r="AB120" s="3"/>
      <c r="AC120" s="3"/>
    </row>
    <row r="121">
      <c r="A121" s="79" t="s">
        <v>195</v>
      </c>
      <c r="B121" s="72" t="s">
        <v>71</v>
      </c>
      <c r="C121" s="72" t="s">
        <v>203</v>
      </c>
      <c r="D121" s="72"/>
      <c r="E121" s="72"/>
      <c r="F121" s="72"/>
      <c r="G121" s="80"/>
      <c r="H121" s="81"/>
      <c r="I121" s="81"/>
      <c r="J121" s="81"/>
      <c r="K121" s="81"/>
      <c r="L121" s="82"/>
      <c r="M121" s="3"/>
      <c r="N121" s="3"/>
      <c r="O121" s="3"/>
      <c r="P121" s="3"/>
      <c r="Q121" s="3"/>
      <c r="R121" s="3"/>
      <c r="S121" s="3"/>
      <c r="T121" s="3"/>
      <c r="U121" s="3"/>
      <c r="V121" s="3"/>
      <c r="W121" s="3"/>
      <c r="X121" s="3"/>
      <c r="Y121" s="3"/>
      <c r="Z121" s="3"/>
      <c r="AA121" s="3"/>
      <c r="AB121" s="3"/>
      <c r="AC121" s="3"/>
    </row>
    <row r="122">
      <c r="A122" s="79" t="s">
        <v>195</v>
      </c>
      <c r="B122" s="72" t="s">
        <v>71</v>
      </c>
      <c r="C122" s="72" t="s">
        <v>204</v>
      </c>
      <c r="D122" s="72"/>
      <c r="E122" s="72"/>
      <c r="F122" s="72"/>
      <c r="G122" s="80"/>
      <c r="H122" s="81"/>
      <c r="I122" s="81"/>
      <c r="J122" s="81"/>
      <c r="K122" s="81"/>
      <c r="L122" s="82"/>
      <c r="M122" s="3"/>
      <c r="N122" s="3"/>
      <c r="O122" s="3"/>
      <c r="P122" s="3"/>
      <c r="Q122" s="3"/>
      <c r="R122" s="3"/>
      <c r="S122" s="3"/>
      <c r="T122" s="3"/>
      <c r="U122" s="3"/>
      <c r="V122" s="3"/>
      <c r="W122" s="3"/>
      <c r="X122" s="3"/>
      <c r="Y122" s="3"/>
      <c r="Z122" s="3"/>
      <c r="AA122" s="3"/>
      <c r="AB122" s="3"/>
      <c r="AC122" s="3"/>
    </row>
    <row r="123">
      <c r="A123" s="79" t="s">
        <v>195</v>
      </c>
      <c r="B123" s="72" t="s">
        <v>20</v>
      </c>
      <c r="C123" s="72" t="s">
        <v>205</v>
      </c>
      <c r="D123" s="72" t="s">
        <v>206</v>
      </c>
      <c r="E123" s="72"/>
      <c r="F123" s="72"/>
      <c r="G123" s="80"/>
      <c r="H123" s="81"/>
      <c r="I123" s="81"/>
      <c r="J123" s="81"/>
      <c r="K123" s="81"/>
      <c r="L123" s="82"/>
      <c r="M123" s="3"/>
      <c r="N123" s="3"/>
      <c r="O123" s="3"/>
      <c r="P123" s="3"/>
      <c r="Q123" s="3"/>
      <c r="R123" s="3"/>
      <c r="S123" s="3"/>
      <c r="T123" s="3"/>
      <c r="U123" s="3"/>
      <c r="V123" s="3"/>
      <c r="W123" s="3"/>
      <c r="X123" s="3"/>
      <c r="Y123" s="3"/>
      <c r="Z123" s="3"/>
      <c r="AA123" s="3"/>
      <c r="AB123" s="3"/>
      <c r="AC123" s="3"/>
    </row>
    <row r="124">
      <c r="A124" s="79" t="s">
        <v>195</v>
      </c>
      <c r="B124" s="72" t="s">
        <v>71</v>
      </c>
      <c r="C124" s="72" t="s">
        <v>207</v>
      </c>
      <c r="D124" s="72"/>
      <c r="E124" s="72"/>
      <c r="F124" s="72"/>
      <c r="G124" s="80"/>
      <c r="H124" s="81"/>
      <c r="I124" s="81"/>
      <c r="J124" s="81"/>
      <c r="K124" s="81"/>
      <c r="L124" s="82"/>
      <c r="M124" s="3"/>
      <c r="N124" s="3"/>
      <c r="O124" s="3"/>
      <c r="P124" s="3"/>
      <c r="Q124" s="3"/>
      <c r="R124" s="3"/>
      <c r="S124" s="3"/>
      <c r="T124" s="3"/>
      <c r="U124" s="3"/>
      <c r="V124" s="3"/>
      <c r="W124" s="3"/>
      <c r="X124" s="3"/>
      <c r="Y124" s="3"/>
      <c r="Z124" s="3"/>
      <c r="AA124" s="3"/>
      <c r="AB124" s="3"/>
      <c r="AC124" s="3"/>
    </row>
    <row r="125">
      <c r="A125" s="79" t="s">
        <v>195</v>
      </c>
      <c r="B125" s="72" t="s">
        <v>20</v>
      </c>
      <c r="C125" s="72" t="s">
        <v>208</v>
      </c>
      <c r="D125" s="72"/>
      <c r="E125" s="72"/>
      <c r="F125" s="72"/>
      <c r="G125" s="80"/>
      <c r="H125" s="81"/>
      <c r="I125" s="81"/>
      <c r="J125" s="81"/>
      <c r="K125" s="81"/>
      <c r="L125" s="82"/>
      <c r="M125" s="3"/>
      <c r="N125" s="3"/>
      <c r="O125" s="3"/>
      <c r="P125" s="3"/>
      <c r="Q125" s="3"/>
      <c r="R125" s="3"/>
      <c r="S125" s="3"/>
      <c r="T125" s="3"/>
      <c r="U125" s="3"/>
      <c r="V125" s="3"/>
      <c r="W125" s="3"/>
      <c r="X125" s="3"/>
      <c r="Y125" s="3"/>
      <c r="Z125" s="3"/>
      <c r="AA125" s="3"/>
      <c r="AB125" s="3"/>
      <c r="AC125" s="3"/>
    </row>
    <row r="126">
      <c r="A126" s="79" t="s">
        <v>195</v>
      </c>
      <c r="B126" s="72" t="s">
        <v>71</v>
      </c>
      <c r="C126" s="72" t="s">
        <v>209</v>
      </c>
      <c r="D126" s="72" t="s">
        <v>210</v>
      </c>
      <c r="E126" s="72"/>
      <c r="F126" s="72" t="s">
        <v>211</v>
      </c>
      <c r="G126" s="80"/>
      <c r="H126" s="81"/>
      <c r="I126" s="81"/>
      <c r="J126" s="81"/>
      <c r="K126" s="81"/>
      <c r="L126" s="82"/>
      <c r="M126" s="3"/>
      <c r="N126" s="3"/>
      <c r="O126" s="3"/>
      <c r="P126" s="3"/>
      <c r="Q126" s="3"/>
      <c r="R126" s="3"/>
      <c r="S126" s="3"/>
      <c r="T126" s="3"/>
      <c r="U126" s="3"/>
      <c r="V126" s="3"/>
      <c r="W126" s="3"/>
      <c r="X126" s="3"/>
      <c r="Y126" s="3"/>
      <c r="Z126" s="3"/>
      <c r="AA126" s="3"/>
      <c r="AB126" s="3"/>
      <c r="AC126" s="3"/>
    </row>
    <row r="127">
      <c r="A127" s="79" t="s">
        <v>195</v>
      </c>
      <c r="B127" s="72" t="s">
        <v>20</v>
      </c>
      <c r="C127" s="72" t="s">
        <v>212</v>
      </c>
      <c r="D127" s="72"/>
      <c r="E127" s="72"/>
      <c r="F127" s="72"/>
      <c r="G127" s="80"/>
      <c r="H127" s="81"/>
      <c r="I127" s="81"/>
      <c r="J127" s="81"/>
      <c r="K127" s="81"/>
      <c r="L127" s="82"/>
      <c r="M127" s="3"/>
      <c r="N127" s="3"/>
      <c r="O127" s="3"/>
      <c r="P127" s="3"/>
      <c r="Q127" s="3"/>
      <c r="R127" s="3"/>
      <c r="S127" s="3"/>
      <c r="T127" s="3"/>
      <c r="U127" s="3"/>
      <c r="V127" s="3"/>
      <c r="W127" s="3"/>
      <c r="X127" s="3"/>
      <c r="Y127" s="3"/>
      <c r="Z127" s="3"/>
      <c r="AA127" s="3"/>
      <c r="AB127" s="3"/>
      <c r="AC127" s="3"/>
    </row>
    <row r="128">
      <c r="A128" s="79" t="s">
        <v>195</v>
      </c>
      <c r="B128" s="72" t="s">
        <v>20</v>
      </c>
      <c r="C128" s="72" t="s">
        <v>213</v>
      </c>
      <c r="D128" s="72"/>
      <c r="E128" s="72"/>
      <c r="F128" s="72"/>
      <c r="G128" s="80"/>
      <c r="H128" s="81"/>
      <c r="I128" s="81"/>
      <c r="J128" s="81"/>
      <c r="K128" s="81"/>
      <c r="L128" s="83"/>
      <c r="M128" s="3"/>
      <c r="N128" s="3"/>
      <c r="O128" s="3"/>
      <c r="P128" s="3"/>
      <c r="Q128" s="3"/>
      <c r="R128" s="3"/>
      <c r="S128" s="3"/>
      <c r="T128" s="3"/>
      <c r="U128" s="3"/>
      <c r="V128" s="3"/>
      <c r="W128" s="3"/>
      <c r="X128" s="3"/>
      <c r="Y128" s="3"/>
      <c r="Z128" s="3"/>
      <c r="AA128" s="3"/>
      <c r="AB128" s="3"/>
      <c r="AC128" s="3"/>
    </row>
    <row r="129">
      <c r="A129" s="79" t="s">
        <v>195</v>
      </c>
      <c r="B129" s="72" t="s">
        <v>20</v>
      </c>
      <c r="C129" s="72" t="s">
        <v>214</v>
      </c>
      <c r="D129" s="72"/>
      <c r="E129" s="72"/>
      <c r="F129" s="72"/>
      <c r="G129" s="80"/>
      <c r="H129" s="81"/>
      <c r="I129" s="81"/>
      <c r="J129" s="81"/>
      <c r="K129" s="81"/>
      <c r="L129" s="83"/>
      <c r="M129" s="3"/>
      <c r="N129" s="3"/>
      <c r="O129" s="3"/>
      <c r="P129" s="3"/>
      <c r="Q129" s="3"/>
      <c r="R129" s="3"/>
      <c r="S129" s="3"/>
      <c r="T129" s="3"/>
      <c r="U129" s="3"/>
      <c r="V129" s="3"/>
      <c r="W129" s="3"/>
      <c r="X129" s="3"/>
      <c r="Y129" s="3"/>
      <c r="Z129" s="3"/>
      <c r="AA129" s="3"/>
      <c r="AB129" s="3"/>
      <c r="AC129" s="3"/>
    </row>
    <row r="130">
      <c r="A130" s="79"/>
      <c r="B130" s="72" t="s">
        <v>20</v>
      </c>
      <c r="C130" s="72" t="s">
        <v>215</v>
      </c>
      <c r="D130" s="72"/>
      <c r="E130" s="72"/>
      <c r="F130" s="72"/>
      <c r="G130" s="80"/>
      <c r="H130" s="81"/>
      <c r="I130" s="81"/>
      <c r="J130" s="81"/>
      <c r="K130" s="81"/>
      <c r="L130" s="83"/>
      <c r="M130" s="3"/>
      <c r="N130" s="3"/>
      <c r="O130" s="3"/>
      <c r="P130" s="3"/>
      <c r="Q130" s="3"/>
      <c r="R130" s="3"/>
      <c r="S130" s="3"/>
      <c r="T130" s="3"/>
      <c r="U130" s="3"/>
      <c r="V130" s="3"/>
      <c r="W130" s="3"/>
      <c r="X130" s="3"/>
      <c r="Y130" s="3"/>
      <c r="Z130" s="3"/>
      <c r="AA130" s="3"/>
      <c r="AB130" s="3"/>
      <c r="AC130" s="3"/>
    </row>
    <row r="131">
      <c r="A131" s="79" t="s">
        <v>195</v>
      </c>
      <c r="B131" s="72" t="s">
        <v>71</v>
      </c>
      <c r="C131" s="72" t="s">
        <v>216</v>
      </c>
      <c r="D131" s="72"/>
      <c r="E131" s="72"/>
      <c r="F131" s="72"/>
      <c r="G131" s="80"/>
      <c r="H131" s="81"/>
      <c r="I131" s="81"/>
      <c r="J131" s="81"/>
      <c r="K131" s="81"/>
      <c r="L131" s="83"/>
      <c r="M131" s="3"/>
      <c r="N131" s="3"/>
      <c r="O131" s="3"/>
      <c r="P131" s="3"/>
      <c r="Q131" s="3"/>
      <c r="R131" s="3"/>
      <c r="S131" s="3"/>
      <c r="T131" s="3"/>
      <c r="U131" s="3"/>
      <c r="V131" s="3"/>
      <c r="W131" s="3"/>
      <c r="X131" s="3"/>
      <c r="Y131" s="3"/>
      <c r="Z131" s="3"/>
      <c r="AA131" s="3"/>
      <c r="AB131" s="3"/>
      <c r="AC131" s="3"/>
    </row>
    <row r="132">
      <c r="A132" s="79" t="s">
        <v>195</v>
      </c>
      <c r="B132" s="72" t="s">
        <v>20</v>
      </c>
      <c r="C132" s="72" t="s">
        <v>217</v>
      </c>
      <c r="D132" s="72"/>
      <c r="E132" s="72"/>
      <c r="F132" s="72"/>
      <c r="G132" s="80"/>
      <c r="H132" s="81"/>
      <c r="I132" s="81"/>
      <c r="J132" s="81"/>
      <c r="K132" s="81"/>
      <c r="L132" s="83"/>
      <c r="M132" s="3"/>
      <c r="N132" s="3"/>
      <c r="O132" s="3"/>
      <c r="P132" s="3"/>
      <c r="Q132" s="3"/>
      <c r="R132" s="3"/>
      <c r="S132" s="3"/>
      <c r="T132" s="3"/>
      <c r="U132" s="3"/>
      <c r="V132" s="3"/>
      <c r="W132" s="3"/>
      <c r="X132" s="3"/>
      <c r="Y132" s="3"/>
      <c r="Z132" s="3"/>
      <c r="AA132" s="3"/>
      <c r="AB132" s="3"/>
      <c r="AC132" s="3"/>
    </row>
    <row r="133">
      <c r="A133" s="79" t="s">
        <v>195</v>
      </c>
      <c r="B133" s="72" t="s">
        <v>20</v>
      </c>
      <c r="C133" s="72" t="s">
        <v>218</v>
      </c>
      <c r="D133" s="72"/>
      <c r="E133" s="72"/>
      <c r="F133" s="72"/>
      <c r="G133" s="80"/>
      <c r="H133" s="81"/>
      <c r="I133" s="81"/>
      <c r="J133" s="81"/>
      <c r="K133" s="81"/>
      <c r="L133" s="83"/>
      <c r="M133" s="3"/>
      <c r="N133" s="3"/>
      <c r="O133" s="3"/>
      <c r="P133" s="3"/>
      <c r="Q133" s="3"/>
      <c r="R133" s="3"/>
      <c r="S133" s="3"/>
      <c r="T133" s="3"/>
      <c r="U133" s="3"/>
      <c r="V133" s="3"/>
      <c r="W133" s="3"/>
      <c r="X133" s="3"/>
      <c r="Y133" s="3"/>
      <c r="Z133" s="3"/>
      <c r="AA133" s="3"/>
      <c r="AB133" s="3"/>
      <c r="AC133" s="3"/>
    </row>
    <row r="134" ht="17.25" customHeight="1">
      <c r="A134" s="79" t="s">
        <v>195</v>
      </c>
      <c r="B134" s="84" t="s">
        <v>20</v>
      </c>
      <c r="C134" s="84" t="s">
        <v>219</v>
      </c>
      <c r="D134" s="84"/>
      <c r="E134" s="84"/>
      <c r="F134" s="84"/>
      <c r="G134" s="85"/>
      <c r="H134" s="86"/>
      <c r="I134" s="86"/>
      <c r="J134" s="86"/>
      <c r="K134" s="86"/>
      <c r="L134" s="87"/>
      <c r="M134" s="59"/>
      <c r="N134" s="59"/>
      <c r="O134" s="59"/>
      <c r="P134" s="59"/>
      <c r="Q134" s="59"/>
      <c r="R134" s="59"/>
      <c r="S134" s="59"/>
      <c r="T134" s="59"/>
      <c r="U134" s="59"/>
      <c r="V134" s="59"/>
      <c r="W134" s="59"/>
      <c r="X134" s="59"/>
      <c r="Y134" s="59"/>
      <c r="Z134" s="59"/>
      <c r="AA134" s="59"/>
      <c r="AB134" s="59"/>
      <c r="AC134" s="59"/>
    </row>
    <row r="135">
      <c r="A135" s="88" t="s">
        <v>220</v>
      </c>
      <c r="B135" s="89"/>
      <c r="C135" s="89"/>
      <c r="D135" s="89"/>
      <c r="E135" s="89"/>
      <c r="F135" s="89" t="s">
        <v>221</v>
      </c>
      <c r="G135" s="90"/>
      <c r="H135" s="91"/>
      <c r="I135" s="91"/>
      <c r="J135" s="91"/>
      <c r="K135" s="91"/>
      <c r="L135" s="92"/>
      <c r="M135" s="3"/>
      <c r="N135" s="3"/>
      <c r="O135" s="3"/>
      <c r="P135" s="3"/>
      <c r="Q135" s="3"/>
      <c r="R135" s="3"/>
      <c r="S135" s="3"/>
      <c r="T135" s="3"/>
      <c r="U135" s="3"/>
      <c r="V135" s="3"/>
      <c r="W135" s="3"/>
      <c r="X135" s="3"/>
      <c r="Y135" s="3"/>
      <c r="Z135" s="3"/>
      <c r="AA135" s="3"/>
      <c r="AB135" s="3"/>
      <c r="AC135" s="3"/>
    </row>
    <row r="136">
      <c r="A136" s="88" t="s">
        <v>220</v>
      </c>
      <c r="B136" s="89" t="s">
        <v>71</v>
      </c>
      <c r="C136" s="89" t="s">
        <v>222</v>
      </c>
      <c r="D136" s="89"/>
      <c r="E136" s="89"/>
      <c r="F136" s="89" t="s">
        <v>221</v>
      </c>
      <c r="G136" s="90"/>
      <c r="H136" s="91"/>
      <c r="I136" s="91"/>
      <c r="J136" s="91"/>
      <c r="K136" s="91"/>
      <c r="L136" s="92"/>
      <c r="M136" s="3"/>
      <c r="N136" s="3"/>
      <c r="O136" s="3"/>
      <c r="P136" s="3"/>
      <c r="Q136" s="3"/>
      <c r="R136" s="3"/>
      <c r="S136" s="3"/>
      <c r="T136" s="3"/>
      <c r="U136" s="3"/>
      <c r="V136" s="3"/>
      <c r="W136" s="3"/>
      <c r="X136" s="3"/>
      <c r="Y136" s="3"/>
      <c r="Z136" s="3"/>
      <c r="AA136" s="3"/>
      <c r="AB136" s="3"/>
      <c r="AC136" s="3"/>
    </row>
    <row r="137">
      <c r="A137" s="88" t="s">
        <v>220</v>
      </c>
      <c r="B137" s="93" t="s">
        <v>20</v>
      </c>
      <c r="C137" s="93" t="s">
        <v>223</v>
      </c>
      <c r="D137" s="93"/>
      <c r="E137" s="93"/>
      <c r="F137" s="93" t="s">
        <v>221</v>
      </c>
      <c r="G137" s="94"/>
      <c r="H137" s="95"/>
      <c r="I137" s="95"/>
      <c r="J137" s="95"/>
      <c r="K137" s="95"/>
      <c r="L137" s="96"/>
      <c r="M137" s="59"/>
      <c r="N137" s="59"/>
      <c r="O137" s="59"/>
      <c r="P137" s="59"/>
      <c r="Q137" s="59"/>
      <c r="R137" s="59"/>
      <c r="S137" s="59"/>
      <c r="T137" s="59"/>
      <c r="U137" s="59"/>
      <c r="V137" s="59"/>
      <c r="W137" s="59"/>
      <c r="X137" s="59"/>
      <c r="Y137" s="59"/>
      <c r="Z137" s="59"/>
      <c r="AA137" s="59"/>
      <c r="AB137" s="59"/>
      <c r="AC137" s="59"/>
    </row>
    <row r="138">
      <c r="A138" s="97" t="s">
        <v>224</v>
      </c>
      <c r="B138" s="98" t="s">
        <v>88</v>
      </c>
      <c r="C138" s="98" t="s">
        <v>225</v>
      </c>
      <c r="D138" s="98"/>
      <c r="E138" s="98"/>
      <c r="F138" s="98"/>
      <c r="G138" s="99"/>
      <c r="H138" s="100"/>
      <c r="I138" s="100"/>
      <c r="J138" s="100"/>
      <c r="K138" s="100"/>
      <c r="L138" s="101"/>
      <c r="M138" s="69"/>
      <c r="N138" s="69"/>
      <c r="O138" s="69"/>
      <c r="P138" s="69"/>
      <c r="Q138" s="69"/>
      <c r="R138" s="69"/>
      <c r="S138" s="69"/>
      <c r="T138" s="69"/>
      <c r="U138" s="69"/>
      <c r="V138" s="69"/>
      <c r="W138" s="69"/>
      <c r="X138" s="69"/>
      <c r="Y138" s="69"/>
      <c r="Z138" s="69"/>
      <c r="AA138" s="69"/>
      <c r="AB138" s="69"/>
      <c r="AC138" s="69"/>
    </row>
    <row r="139">
      <c r="A139" s="97" t="s">
        <v>226</v>
      </c>
      <c r="B139" s="98" t="s">
        <v>88</v>
      </c>
      <c r="C139" s="102" t="s">
        <v>227</v>
      </c>
      <c r="D139" s="102"/>
      <c r="E139" s="102"/>
      <c r="F139" s="102"/>
      <c r="G139" s="103"/>
      <c r="H139" s="104"/>
      <c r="I139" s="104"/>
      <c r="J139" s="104"/>
      <c r="K139" s="104"/>
      <c r="L139" s="105"/>
      <c r="M139" s="69"/>
      <c r="N139" s="69"/>
      <c r="O139" s="69"/>
      <c r="P139" s="69"/>
      <c r="Q139" s="69"/>
      <c r="R139" s="69"/>
      <c r="S139" s="69"/>
      <c r="T139" s="69"/>
      <c r="U139" s="69"/>
      <c r="V139" s="69"/>
      <c r="W139" s="69"/>
      <c r="X139" s="69"/>
      <c r="Y139" s="69"/>
      <c r="Z139" s="69"/>
      <c r="AA139" s="69"/>
      <c r="AB139" s="69"/>
      <c r="AC139" s="69"/>
    </row>
    <row r="140">
      <c r="A140" s="106" t="s">
        <v>226</v>
      </c>
      <c r="B140" s="40" t="s">
        <v>71</v>
      </c>
      <c r="C140" s="40" t="s">
        <v>228</v>
      </c>
      <c r="D140" s="40"/>
      <c r="E140" s="40"/>
      <c r="F140" s="40"/>
      <c r="G140" s="107"/>
      <c r="H140" s="108"/>
      <c r="I140" s="108"/>
      <c r="J140" s="108"/>
      <c r="K140" s="108"/>
      <c r="L140" s="45"/>
      <c r="M140" s="3"/>
      <c r="N140" s="3"/>
      <c r="O140" s="3"/>
      <c r="P140" s="3"/>
      <c r="Q140" s="3"/>
      <c r="R140" s="3"/>
      <c r="S140" s="3"/>
      <c r="T140" s="3"/>
      <c r="U140" s="3"/>
      <c r="V140" s="3"/>
      <c r="W140" s="3"/>
      <c r="X140" s="3"/>
      <c r="Y140" s="3"/>
      <c r="Z140" s="3"/>
      <c r="AA140" s="3"/>
      <c r="AB140" s="3"/>
      <c r="AC140" s="3"/>
    </row>
    <row r="141">
      <c r="A141" s="97" t="s">
        <v>229</v>
      </c>
      <c r="B141" s="98" t="s">
        <v>88</v>
      </c>
      <c r="C141" s="102" t="s">
        <v>227</v>
      </c>
      <c r="D141" s="102"/>
      <c r="E141" s="102"/>
      <c r="F141" s="102"/>
      <c r="G141" s="103"/>
      <c r="H141" s="104"/>
      <c r="I141" s="104"/>
      <c r="J141" s="104"/>
      <c r="K141" s="104"/>
      <c r="L141" s="105"/>
      <c r="M141" s="69"/>
      <c r="N141" s="69"/>
      <c r="O141" s="69"/>
      <c r="P141" s="69"/>
      <c r="Q141" s="69"/>
      <c r="R141" s="69"/>
      <c r="S141" s="69"/>
      <c r="T141" s="69"/>
      <c r="U141" s="69"/>
      <c r="V141" s="69"/>
      <c r="W141" s="69"/>
      <c r="X141" s="69"/>
      <c r="Y141" s="69"/>
      <c r="Z141" s="69"/>
      <c r="AA141" s="69"/>
      <c r="AB141" s="69"/>
      <c r="AC141" s="69"/>
    </row>
    <row r="142">
      <c r="A142" s="106" t="s">
        <v>229</v>
      </c>
      <c r="B142" s="40" t="s">
        <v>71</v>
      </c>
      <c r="C142" s="40" t="s">
        <v>230</v>
      </c>
      <c r="D142" s="40" t="s">
        <v>231</v>
      </c>
      <c r="E142" s="40"/>
      <c r="F142" s="40"/>
      <c r="G142" s="107"/>
      <c r="H142" s="108"/>
      <c r="I142" s="108"/>
      <c r="J142" s="108"/>
      <c r="K142" s="108"/>
      <c r="L142" s="45"/>
      <c r="M142" s="3"/>
      <c r="N142" s="3"/>
      <c r="O142" s="3"/>
      <c r="P142" s="3"/>
      <c r="Q142" s="3"/>
      <c r="R142" s="3"/>
      <c r="S142" s="3"/>
      <c r="T142" s="3"/>
      <c r="U142" s="3"/>
      <c r="V142" s="3"/>
      <c r="W142" s="3"/>
      <c r="X142" s="3"/>
      <c r="Y142" s="3"/>
      <c r="Z142" s="3"/>
      <c r="AA142" s="3"/>
      <c r="AB142" s="3"/>
      <c r="AC142" s="3"/>
    </row>
    <row r="143">
      <c r="A143" s="109" t="s">
        <v>232</v>
      </c>
      <c r="B143" s="102" t="s">
        <v>88</v>
      </c>
      <c r="C143" s="102" t="s">
        <v>233</v>
      </c>
      <c r="D143" s="102"/>
      <c r="E143" s="102"/>
      <c r="F143" s="102"/>
      <c r="G143" s="103"/>
      <c r="H143" s="104"/>
      <c r="I143" s="104"/>
      <c r="J143" s="104"/>
      <c r="K143" s="104"/>
      <c r="L143" s="105"/>
      <c r="M143" s="69"/>
      <c r="N143" s="69"/>
      <c r="O143" s="69"/>
      <c r="P143" s="69"/>
      <c r="Q143" s="69"/>
      <c r="R143" s="69"/>
      <c r="S143" s="69"/>
      <c r="T143" s="69"/>
      <c r="U143" s="69"/>
      <c r="V143" s="69"/>
      <c r="W143" s="69"/>
      <c r="X143" s="69"/>
      <c r="Y143" s="69"/>
      <c r="Z143" s="69"/>
      <c r="AA143" s="69"/>
      <c r="AB143" s="69"/>
      <c r="AC143" s="69"/>
    </row>
    <row r="144">
      <c r="A144" s="39" t="s">
        <v>232</v>
      </c>
      <c r="B144" s="40" t="s">
        <v>20</v>
      </c>
      <c r="C144" s="40" t="s">
        <v>234</v>
      </c>
      <c r="D144" s="40"/>
      <c r="E144" s="40"/>
      <c r="F144" s="40"/>
      <c r="G144" s="107"/>
      <c r="H144" s="108"/>
      <c r="I144" s="108"/>
      <c r="J144" s="108"/>
      <c r="K144" s="108"/>
      <c r="L144" s="45"/>
      <c r="M144" s="3"/>
      <c r="N144" s="3"/>
      <c r="O144" s="3"/>
      <c r="P144" s="3"/>
      <c r="Q144" s="3"/>
      <c r="R144" s="3"/>
      <c r="S144" s="3"/>
      <c r="T144" s="3"/>
      <c r="U144" s="3"/>
      <c r="V144" s="3"/>
      <c r="W144" s="3"/>
      <c r="X144" s="3"/>
      <c r="Y144" s="3"/>
      <c r="Z144" s="3"/>
      <c r="AA144" s="3"/>
      <c r="AB144" s="3"/>
      <c r="AC144" s="3"/>
    </row>
    <row r="145">
      <c r="A145" s="39" t="s">
        <v>232</v>
      </c>
      <c r="B145" s="40" t="s">
        <v>20</v>
      </c>
      <c r="C145" s="40" t="s">
        <v>235</v>
      </c>
      <c r="D145" s="40"/>
      <c r="E145" s="40"/>
      <c r="F145" s="40"/>
      <c r="G145" s="107"/>
      <c r="H145" s="108"/>
      <c r="I145" s="108"/>
      <c r="J145" s="108"/>
      <c r="K145" s="108"/>
      <c r="L145" s="41"/>
      <c r="M145" s="3"/>
      <c r="N145" s="3"/>
      <c r="O145" s="3"/>
      <c r="P145" s="3"/>
      <c r="Q145" s="3"/>
      <c r="R145" s="3"/>
      <c r="S145" s="3"/>
      <c r="T145" s="3"/>
      <c r="U145" s="3"/>
      <c r="V145" s="3"/>
      <c r="W145" s="3"/>
      <c r="X145" s="3"/>
      <c r="Y145" s="3"/>
      <c r="Z145" s="3"/>
      <c r="AA145" s="3"/>
      <c r="AB145" s="3"/>
      <c r="AC145" s="3"/>
    </row>
    <row r="146">
      <c r="A146" s="39" t="s">
        <v>232</v>
      </c>
      <c r="B146" s="40" t="s">
        <v>20</v>
      </c>
      <c r="C146" s="40" t="s">
        <v>236</v>
      </c>
      <c r="D146" s="40"/>
      <c r="E146" s="40"/>
      <c r="F146" s="40"/>
      <c r="G146" s="107"/>
      <c r="H146" s="108"/>
      <c r="I146" s="108"/>
      <c r="J146" s="108"/>
      <c r="K146" s="108"/>
      <c r="L146" s="41"/>
      <c r="M146" s="3"/>
      <c r="N146" s="3"/>
      <c r="O146" s="3"/>
      <c r="P146" s="3"/>
      <c r="Q146" s="3"/>
      <c r="R146" s="3"/>
      <c r="S146" s="3"/>
      <c r="T146" s="3"/>
      <c r="U146" s="3"/>
      <c r="V146" s="3"/>
      <c r="W146" s="3"/>
      <c r="X146" s="3"/>
      <c r="Y146" s="3"/>
      <c r="Z146" s="3"/>
      <c r="AA146" s="3"/>
      <c r="AB146" s="3"/>
      <c r="AC146" s="3"/>
    </row>
    <row r="147">
      <c r="A147" s="39" t="s">
        <v>232</v>
      </c>
      <c r="B147" s="40" t="s">
        <v>20</v>
      </c>
      <c r="C147" s="40" t="s">
        <v>237</v>
      </c>
      <c r="D147" s="40"/>
      <c r="E147" s="40"/>
      <c r="F147" s="40"/>
      <c r="G147" s="107"/>
      <c r="H147" s="108"/>
      <c r="I147" s="108"/>
      <c r="J147" s="108"/>
      <c r="K147" s="108"/>
      <c r="L147" s="41"/>
      <c r="M147" s="3"/>
      <c r="N147" s="3"/>
      <c r="O147" s="3"/>
      <c r="P147" s="3"/>
      <c r="Q147" s="3"/>
      <c r="R147" s="3"/>
      <c r="S147" s="3"/>
      <c r="T147" s="3"/>
      <c r="U147" s="3"/>
      <c r="V147" s="3"/>
      <c r="W147" s="3"/>
      <c r="X147" s="3"/>
      <c r="Y147" s="3"/>
      <c r="Z147" s="3"/>
      <c r="AA147" s="3"/>
      <c r="AB147" s="3"/>
      <c r="AC147" s="3"/>
    </row>
    <row r="148">
      <c r="A148" s="39" t="s">
        <v>232</v>
      </c>
      <c r="B148" s="40" t="s">
        <v>71</v>
      </c>
      <c r="C148" s="40" t="s">
        <v>238</v>
      </c>
      <c r="D148" s="40"/>
      <c r="E148" s="40"/>
      <c r="F148" s="40"/>
      <c r="G148" s="107"/>
      <c r="H148" s="108"/>
      <c r="I148" s="108"/>
      <c r="J148" s="108"/>
      <c r="K148" s="108"/>
      <c r="L148" s="41"/>
      <c r="M148" s="3"/>
      <c r="N148" s="3"/>
      <c r="O148" s="3"/>
      <c r="P148" s="3"/>
      <c r="Q148" s="3"/>
      <c r="R148" s="3"/>
      <c r="S148" s="3"/>
      <c r="T148" s="3"/>
      <c r="U148" s="3"/>
      <c r="V148" s="3"/>
      <c r="W148" s="3"/>
      <c r="X148" s="3"/>
      <c r="Y148" s="3"/>
      <c r="Z148" s="3"/>
      <c r="AA148" s="3"/>
      <c r="AB148" s="3"/>
      <c r="AC148" s="3"/>
    </row>
    <row r="149">
      <c r="A149" s="39" t="s">
        <v>232</v>
      </c>
      <c r="B149" s="40" t="s">
        <v>71</v>
      </c>
      <c r="C149" s="40" t="s">
        <v>239</v>
      </c>
      <c r="D149" s="40"/>
      <c r="E149" s="40"/>
      <c r="F149" s="40"/>
      <c r="G149" s="107"/>
      <c r="H149" s="108"/>
      <c r="I149" s="108"/>
      <c r="J149" s="108"/>
      <c r="K149" s="108"/>
      <c r="L149" s="41"/>
      <c r="M149" s="3"/>
      <c r="N149" s="3"/>
      <c r="O149" s="3"/>
      <c r="P149" s="3"/>
      <c r="Q149" s="3"/>
      <c r="R149" s="3"/>
      <c r="S149" s="3"/>
      <c r="T149" s="3"/>
      <c r="U149" s="3"/>
      <c r="V149" s="3"/>
      <c r="W149" s="3"/>
      <c r="X149" s="3"/>
      <c r="Y149" s="3"/>
      <c r="Z149" s="3"/>
      <c r="AA149" s="3"/>
      <c r="AB149" s="3"/>
      <c r="AC149" s="3"/>
    </row>
    <row r="150">
      <c r="A150" s="39" t="s">
        <v>232</v>
      </c>
      <c r="B150" s="40" t="s">
        <v>71</v>
      </c>
      <c r="C150" s="40" t="s">
        <v>240</v>
      </c>
      <c r="D150" s="40"/>
      <c r="E150" s="40"/>
      <c r="F150" s="40"/>
      <c r="G150" s="107"/>
      <c r="H150" s="108"/>
      <c r="I150" s="108"/>
      <c r="J150" s="108"/>
      <c r="K150" s="108"/>
      <c r="L150" s="41"/>
      <c r="M150" s="3"/>
      <c r="N150" s="3"/>
      <c r="O150" s="3"/>
      <c r="P150" s="3"/>
      <c r="Q150" s="3"/>
      <c r="R150" s="3"/>
      <c r="S150" s="3"/>
      <c r="T150" s="3"/>
      <c r="U150" s="3"/>
      <c r="V150" s="3"/>
      <c r="W150" s="3"/>
      <c r="X150" s="3"/>
      <c r="Y150" s="3"/>
      <c r="Z150" s="3"/>
      <c r="AA150" s="3"/>
      <c r="AB150" s="3"/>
      <c r="AC150" s="3"/>
    </row>
    <row r="151">
      <c r="A151" s="39" t="s">
        <v>232</v>
      </c>
      <c r="B151" s="40" t="s">
        <v>71</v>
      </c>
      <c r="C151" s="40" t="s">
        <v>241</v>
      </c>
      <c r="D151" s="40"/>
      <c r="E151" s="40"/>
      <c r="F151" s="40"/>
      <c r="G151" s="107"/>
      <c r="H151" s="108"/>
      <c r="I151" s="108"/>
      <c r="J151" s="108"/>
      <c r="K151" s="108"/>
      <c r="L151" s="41"/>
      <c r="M151" s="3"/>
      <c r="N151" s="3"/>
      <c r="O151" s="3"/>
      <c r="P151" s="3"/>
      <c r="Q151" s="3"/>
      <c r="R151" s="3"/>
      <c r="S151" s="3"/>
      <c r="T151" s="3"/>
      <c r="U151" s="3"/>
      <c r="V151" s="3"/>
      <c r="W151" s="3"/>
      <c r="X151" s="3"/>
      <c r="Y151" s="3"/>
      <c r="Z151" s="3"/>
      <c r="AA151" s="3"/>
      <c r="AB151" s="3"/>
      <c r="AC151" s="3"/>
    </row>
    <row r="152">
      <c r="A152" s="39" t="s">
        <v>232</v>
      </c>
      <c r="B152" s="110" t="s">
        <v>71</v>
      </c>
      <c r="C152" s="110" t="s">
        <v>242</v>
      </c>
      <c r="D152" s="110"/>
      <c r="E152" s="110"/>
      <c r="F152" s="110"/>
      <c r="G152" s="111"/>
      <c r="H152" s="112"/>
      <c r="I152" s="112"/>
      <c r="J152" s="112"/>
      <c r="K152" s="112"/>
      <c r="L152" s="113"/>
      <c r="M152" s="59"/>
      <c r="N152" s="59"/>
      <c r="O152" s="59"/>
      <c r="P152" s="59"/>
      <c r="Q152" s="59"/>
      <c r="R152" s="59"/>
      <c r="S152" s="59"/>
      <c r="T152" s="59"/>
      <c r="U152" s="59"/>
      <c r="V152" s="59"/>
      <c r="W152" s="59"/>
      <c r="X152" s="59"/>
      <c r="Y152" s="59"/>
      <c r="Z152" s="59"/>
      <c r="AA152" s="59"/>
      <c r="AB152" s="59"/>
      <c r="AC152" s="59"/>
    </row>
    <row r="153">
      <c r="A153" s="114" t="s">
        <v>243</v>
      </c>
      <c r="B153" s="98" t="s">
        <v>88</v>
      </c>
      <c r="C153" s="98" t="s">
        <v>233</v>
      </c>
      <c r="D153" s="98"/>
      <c r="E153" s="98"/>
      <c r="F153" s="98"/>
      <c r="G153" s="99"/>
      <c r="H153" s="100"/>
      <c r="I153" s="100"/>
      <c r="J153" s="100"/>
      <c r="K153" s="100"/>
      <c r="L153" s="115"/>
      <c r="M153" s="116"/>
      <c r="N153" s="116"/>
      <c r="O153" s="116"/>
      <c r="P153" s="116"/>
      <c r="Q153" s="116"/>
      <c r="R153" s="116"/>
      <c r="S153" s="116"/>
      <c r="T153" s="116"/>
      <c r="U153" s="116"/>
      <c r="V153" s="116"/>
      <c r="W153" s="116"/>
      <c r="X153" s="116"/>
      <c r="Y153" s="116"/>
      <c r="Z153" s="116"/>
      <c r="AA153" s="116"/>
      <c r="AB153" s="116"/>
      <c r="AC153" s="116"/>
    </row>
    <row r="154">
      <c r="A154" s="117" t="s">
        <v>243</v>
      </c>
      <c r="B154" s="117" t="s">
        <v>71</v>
      </c>
      <c r="C154" s="118" t="s">
        <v>244</v>
      </c>
    </row>
    <row r="155">
      <c r="A155" s="106" t="s">
        <v>245</v>
      </c>
      <c r="B155" s="98" t="s">
        <v>88</v>
      </c>
      <c r="C155" s="98" t="s">
        <v>246</v>
      </c>
      <c r="D155" s="119"/>
      <c r="E155" s="119"/>
      <c r="F155" s="119"/>
      <c r="G155" s="120"/>
      <c r="H155" s="121"/>
      <c r="I155" s="121"/>
      <c r="J155" s="121"/>
      <c r="K155" s="121"/>
      <c r="L155" s="122"/>
      <c r="M155" s="3"/>
      <c r="N155" s="3"/>
      <c r="O155" s="3"/>
      <c r="P155" s="3"/>
      <c r="Q155" s="3"/>
      <c r="R155" s="3"/>
      <c r="S155" s="3"/>
      <c r="T155" s="3"/>
      <c r="U155" s="3"/>
      <c r="V155" s="3"/>
      <c r="W155" s="3"/>
      <c r="X155" s="3"/>
      <c r="Y155" s="3"/>
      <c r="Z155" s="3"/>
      <c r="AA155" s="3"/>
      <c r="AB155" s="3"/>
      <c r="AC155" s="3"/>
    </row>
    <row r="156">
      <c r="A156" s="106" t="s">
        <v>247</v>
      </c>
      <c r="B156" s="119" t="s">
        <v>88</v>
      </c>
      <c r="C156" s="98" t="s">
        <v>248</v>
      </c>
      <c r="D156" s="119"/>
      <c r="E156" s="119"/>
      <c r="F156" s="119"/>
      <c r="G156" s="120"/>
      <c r="H156" s="121"/>
      <c r="I156" s="121"/>
      <c r="J156" s="121"/>
      <c r="K156" s="121"/>
      <c r="L156" s="122"/>
      <c r="M156" s="3"/>
      <c r="N156" s="3"/>
      <c r="O156" s="3"/>
      <c r="P156" s="3"/>
      <c r="Q156" s="3"/>
      <c r="R156" s="3"/>
      <c r="S156" s="3"/>
      <c r="T156" s="3"/>
      <c r="U156" s="3"/>
      <c r="V156" s="3"/>
      <c r="W156" s="3"/>
      <c r="X156" s="3"/>
      <c r="Y156" s="3"/>
      <c r="Z156" s="3"/>
      <c r="AA156" s="3"/>
      <c r="AB156" s="3"/>
      <c r="AC156" s="3"/>
    </row>
    <row r="157">
      <c r="A157" s="123"/>
      <c r="B157" s="124"/>
      <c r="C157" s="124"/>
      <c r="D157" s="124"/>
      <c r="E157" s="124"/>
      <c r="F157" s="124"/>
      <c r="G157" s="125"/>
      <c r="H157" s="126"/>
      <c r="I157" s="126"/>
      <c r="J157" s="126"/>
      <c r="K157" s="126"/>
      <c r="L157" s="127"/>
      <c r="M157" s="59"/>
      <c r="N157" s="59"/>
      <c r="O157" s="59"/>
      <c r="P157" s="59"/>
      <c r="Q157" s="59"/>
      <c r="R157" s="59"/>
      <c r="S157" s="59"/>
      <c r="T157" s="59"/>
      <c r="U157" s="59"/>
      <c r="V157" s="59"/>
      <c r="W157" s="59"/>
      <c r="X157" s="59"/>
      <c r="Y157" s="59"/>
      <c r="Z157" s="59"/>
      <c r="AA157" s="59"/>
      <c r="AB157" s="59"/>
      <c r="AC157" s="59"/>
    </row>
    <row r="158">
      <c r="A158" s="128" t="s">
        <v>249</v>
      </c>
      <c r="B158" s="129" t="s">
        <v>20</v>
      </c>
      <c r="C158" s="129" t="s">
        <v>250</v>
      </c>
      <c r="D158" s="129"/>
      <c r="E158" s="129"/>
      <c r="F158" s="129"/>
      <c r="G158" s="130"/>
      <c r="H158" s="131"/>
      <c r="I158" s="131"/>
      <c r="J158" s="131"/>
      <c r="K158" s="131"/>
      <c r="L158" s="132"/>
      <c r="M158" s="3"/>
      <c r="N158" s="3"/>
      <c r="O158" s="3"/>
      <c r="P158" s="3"/>
      <c r="Q158" s="3"/>
      <c r="R158" s="3"/>
      <c r="S158" s="3"/>
      <c r="T158" s="3"/>
      <c r="U158" s="3"/>
      <c r="V158" s="3"/>
      <c r="W158" s="3"/>
      <c r="X158" s="3"/>
      <c r="Y158" s="3"/>
      <c r="Z158" s="3"/>
      <c r="AA158" s="3"/>
      <c r="AB158" s="3"/>
      <c r="AC158" s="3"/>
    </row>
    <row r="159">
      <c r="A159" s="128" t="s">
        <v>249</v>
      </c>
      <c r="B159" s="129" t="s">
        <v>20</v>
      </c>
      <c r="C159" s="129" t="s">
        <v>251</v>
      </c>
      <c r="D159" s="129"/>
      <c r="E159" s="129"/>
      <c r="F159" s="129"/>
      <c r="G159" s="130"/>
      <c r="H159" s="131"/>
      <c r="I159" s="131"/>
      <c r="J159" s="131"/>
      <c r="K159" s="131"/>
      <c r="L159" s="132"/>
      <c r="M159" s="3"/>
      <c r="N159" s="3"/>
      <c r="O159" s="3"/>
      <c r="P159" s="3"/>
      <c r="Q159" s="3"/>
      <c r="R159" s="3"/>
      <c r="S159" s="3"/>
      <c r="T159" s="3"/>
      <c r="U159" s="3"/>
      <c r="V159" s="3"/>
      <c r="W159" s="3"/>
      <c r="X159" s="3"/>
      <c r="Y159" s="3"/>
      <c r="Z159" s="3"/>
      <c r="AA159" s="3"/>
      <c r="AB159" s="3"/>
      <c r="AC159" s="3"/>
    </row>
    <row r="160">
      <c r="A160" s="128" t="s">
        <v>249</v>
      </c>
      <c r="B160" s="129" t="s">
        <v>20</v>
      </c>
      <c r="C160" s="129" t="s">
        <v>252</v>
      </c>
      <c r="D160" s="129"/>
      <c r="E160" s="129"/>
      <c r="F160" s="129"/>
      <c r="G160" s="130"/>
      <c r="H160" s="131"/>
      <c r="I160" s="131"/>
      <c r="J160" s="131"/>
      <c r="K160" s="131"/>
      <c r="L160" s="132"/>
      <c r="M160" s="3"/>
      <c r="N160" s="3"/>
      <c r="O160" s="3"/>
      <c r="P160" s="3"/>
      <c r="Q160" s="3"/>
      <c r="R160" s="3"/>
      <c r="S160" s="3"/>
      <c r="T160" s="3"/>
      <c r="U160" s="3"/>
      <c r="V160" s="3"/>
      <c r="W160" s="3"/>
      <c r="X160" s="3"/>
      <c r="Y160" s="3"/>
      <c r="Z160" s="3"/>
      <c r="AA160" s="3"/>
      <c r="AB160" s="3"/>
      <c r="AC160" s="3"/>
    </row>
    <row r="161">
      <c r="A161" s="128" t="s">
        <v>249</v>
      </c>
      <c r="B161" s="129" t="s">
        <v>71</v>
      </c>
      <c r="C161" s="129" t="s">
        <v>253</v>
      </c>
      <c r="D161" s="129"/>
      <c r="E161" s="129"/>
      <c r="F161" s="129"/>
      <c r="G161" s="130"/>
      <c r="H161" s="131"/>
      <c r="I161" s="131"/>
      <c r="J161" s="131"/>
      <c r="K161" s="131"/>
      <c r="L161" s="132"/>
      <c r="M161" s="3"/>
      <c r="N161" s="3"/>
      <c r="O161" s="3"/>
      <c r="P161" s="3"/>
      <c r="Q161" s="3"/>
      <c r="R161" s="3"/>
      <c r="S161" s="3"/>
      <c r="T161" s="3"/>
      <c r="U161" s="3"/>
      <c r="V161" s="3"/>
      <c r="W161" s="3"/>
      <c r="X161" s="3"/>
      <c r="Y161" s="3"/>
      <c r="Z161" s="3"/>
      <c r="AA161" s="3"/>
      <c r="AB161" s="3"/>
      <c r="AC161" s="3"/>
    </row>
    <row r="162">
      <c r="A162" s="128" t="s">
        <v>249</v>
      </c>
      <c r="B162" s="129" t="s">
        <v>20</v>
      </c>
      <c r="C162" s="129" t="s">
        <v>254</v>
      </c>
      <c r="D162" s="129"/>
      <c r="E162" s="129"/>
      <c r="F162" s="129"/>
      <c r="G162" s="130"/>
      <c r="H162" s="131"/>
      <c r="I162" s="131"/>
      <c r="J162" s="131"/>
      <c r="K162" s="131"/>
      <c r="L162" s="132"/>
      <c r="M162" s="3"/>
      <c r="N162" s="3"/>
      <c r="O162" s="3"/>
      <c r="P162" s="3"/>
      <c r="Q162" s="3"/>
      <c r="R162" s="3"/>
      <c r="S162" s="3"/>
      <c r="T162" s="3"/>
      <c r="U162" s="3"/>
      <c r="V162" s="3"/>
      <c r="W162" s="3"/>
      <c r="X162" s="3"/>
      <c r="Y162" s="3"/>
      <c r="Z162" s="3"/>
      <c r="AA162" s="3"/>
      <c r="AB162" s="3"/>
      <c r="AC162" s="3"/>
    </row>
    <row r="163">
      <c r="A163" s="133"/>
      <c r="B163" s="9"/>
      <c r="C163" s="11"/>
      <c r="D163" s="11"/>
      <c r="E163" s="11"/>
      <c r="F163" s="11"/>
      <c r="G163" s="11"/>
      <c r="H163" s="31"/>
      <c r="I163" s="31"/>
      <c r="J163" s="31"/>
      <c r="K163" s="31"/>
      <c r="L163" s="132"/>
      <c r="M163" s="3"/>
      <c r="N163" s="3"/>
      <c r="O163" s="3"/>
      <c r="P163" s="3"/>
      <c r="Q163" s="3"/>
      <c r="R163" s="3"/>
      <c r="S163" s="3"/>
      <c r="T163" s="3"/>
      <c r="U163" s="3"/>
      <c r="V163" s="3"/>
      <c r="W163" s="3"/>
      <c r="X163" s="3"/>
      <c r="Y163" s="3"/>
      <c r="Z163" s="3"/>
      <c r="AA163" s="3"/>
      <c r="AB163" s="3"/>
      <c r="AC163" s="3"/>
    </row>
    <row r="164">
      <c r="A164" s="133"/>
      <c r="B164" s="9"/>
      <c r="C164" s="11"/>
      <c r="D164" s="11"/>
      <c r="E164" s="11"/>
      <c r="F164" s="11"/>
      <c r="G164" s="11"/>
      <c r="H164" s="31"/>
      <c r="I164" s="31"/>
      <c r="J164" s="31"/>
      <c r="K164" s="31"/>
      <c r="L164" s="132"/>
      <c r="M164" s="3"/>
      <c r="N164" s="3"/>
      <c r="O164" s="3"/>
      <c r="P164" s="3"/>
      <c r="Q164" s="3"/>
      <c r="R164" s="3"/>
      <c r="S164" s="3"/>
      <c r="T164" s="3"/>
      <c r="U164" s="3"/>
      <c r="V164" s="3"/>
      <c r="W164" s="3"/>
      <c r="X164" s="3"/>
      <c r="Y164" s="3"/>
      <c r="Z164" s="3"/>
      <c r="AA164" s="3"/>
      <c r="AB164" s="3"/>
      <c r="AC164" s="3"/>
    </row>
    <row r="165">
      <c r="A165" s="133"/>
      <c r="B165" s="9"/>
      <c r="C165" s="11"/>
      <c r="D165" s="11"/>
      <c r="E165" s="11"/>
      <c r="F165" s="11"/>
      <c r="G165" s="11"/>
      <c r="H165" s="31"/>
      <c r="I165" s="31"/>
      <c r="J165" s="31"/>
      <c r="K165" s="31"/>
      <c r="L165" s="132"/>
      <c r="M165" s="3"/>
      <c r="N165" s="3"/>
      <c r="O165" s="3"/>
      <c r="P165" s="3"/>
      <c r="Q165" s="3"/>
      <c r="R165" s="3"/>
      <c r="S165" s="3"/>
      <c r="T165" s="3"/>
      <c r="U165" s="3"/>
      <c r="V165" s="3"/>
      <c r="W165" s="3"/>
      <c r="X165" s="3"/>
      <c r="Y165" s="3"/>
      <c r="Z165" s="3"/>
      <c r="AA165" s="3"/>
      <c r="AB165" s="3"/>
      <c r="AC165" s="3"/>
    </row>
    <row r="166">
      <c r="A166" s="133"/>
      <c r="B166" s="9"/>
      <c r="C166" s="11"/>
      <c r="D166" s="11"/>
      <c r="E166" s="11"/>
      <c r="F166" s="11"/>
      <c r="G166" s="11"/>
      <c r="H166" s="31"/>
      <c r="I166" s="31"/>
      <c r="J166" s="31"/>
      <c r="K166" s="31"/>
      <c r="L166" s="132"/>
      <c r="M166" s="3"/>
      <c r="N166" s="3"/>
      <c r="O166" s="3"/>
      <c r="P166" s="3"/>
      <c r="Q166" s="3"/>
      <c r="R166" s="3"/>
      <c r="S166" s="3"/>
      <c r="T166" s="3"/>
      <c r="U166" s="3"/>
      <c r="V166" s="3"/>
      <c r="W166" s="3"/>
      <c r="X166" s="3"/>
      <c r="Y166" s="3"/>
      <c r="Z166" s="3"/>
      <c r="AA166" s="3"/>
      <c r="AB166" s="3"/>
      <c r="AC166" s="3"/>
    </row>
    <row r="167">
      <c r="A167" s="133"/>
      <c r="B167" s="9"/>
      <c r="C167" s="18"/>
      <c r="D167" s="18"/>
      <c r="E167" s="18"/>
      <c r="F167" s="11"/>
      <c r="G167" s="11"/>
      <c r="H167" s="31"/>
      <c r="I167" s="31"/>
      <c r="J167" s="31"/>
      <c r="K167" s="31"/>
      <c r="L167" s="132"/>
      <c r="M167" s="3"/>
      <c r="N167" s="3"/>
      <c r="O167" s="3"/>
      <c r="P167" s="3"/>
      <c r="Q167" s="3"/>
      <c r="R167" s="3"/>
      <c r="S167" s="3"/>
      <c r="T167" s="3"/>
      <c r="U167" s="3"/>
      <c r="V167" s="3"/>
      <c r="W167" s="3"/>
      <c r="X167" s="3"/>
      <c r="Y167" s="3"/>
      <c r="Z167" s="3"/>
      <c r="AA167" s="3"/>
      <c r="AB167" s="3"/>
      <c r="AC167" s="3"/>
    </row>
    <row r="168">
      <c r="A168" s="133"/>
      <c r="B168" s="9"/>
      <c r="C168" s="18"/>
      <c r="D168" s="18"/>
      <c r="E168" s="18"/>
      <c r="F168" s="11"/>
      <c r="G168" s="11"/>
      <c r="H168" s="31"/>
      <c r="I168" s="31"/>
      <c r="J168" s="31"/>
      <c r="K168" s="31"/>
      <c r="L168" s="132"/>
      <c r="M168" s="3"/>
      <c r="N168" s="3"/>
      <c r="O168" s="3"/>
      <c r="P168" s="3"/>
      <c r="Q168" s="3"/>
      <c r="R168" s="3"/>
      <c r="S168" s="3"/>
      <c r="T168" s="3"/>
      <c r="U168" s="3"/>
      <c r="V168" s="3"/>
      <c r="W168" s="3"/>
      <c r="X168" s="3"/>
      <c r="Y168" s="3"/>
      <c r="Z168" s="3"/>
      <c r="AA168" s="3"/>
      <c r="AB168" s="3"/>
      <c r="AC168" s="3"/>
    </row>
    <row r="169">
      <c r="A169" s="133"/>
      <c r="B169" s="9"/>
      <c r="C169" s="11"/>
      <c r="D169" s="11"/>
      <c r="E169" s="11"/>
      <c r="F169" s="11"/>
      <c r="G169" s="11"/>
      <c r="H169" s="31"/>
      <c r="I169" s="31"/>
      <c r="J169" s="31"/>
      <c r="K169" s="31"/>
      <c r="L169" s="132"/>
      <c r="M169" s="3"/>
      <c r="N169" s="3"/>
      <c r="O169" s="3"/>
      <c r="P169" s="3"/>
      <c r="Q169" s="3"/>
      <c r="R169" s="3"/>
      <c r="S169" s="3"/>
      <c r="T169" s="3"/>
      <c r="U169" s="3"/>
      <c r="V169" s="3"/>
      <c r="W169" s="3"/>
      <c r="X169" s="3"/>
      <c r="Y169" s="3"/>
      <c r="Z169" s="3"/>
      <c r="AA169" s="3"/>
      <c r="AB169" s="3"/>
      <c r="AC169" s="3"/>
    </row>
    <row r="170">
      <c r="A170" s="134"/>
      <c r="B170" s="22"/>
      <c r="C170" s="22"/>
      <c r="D170" s="22"/>
      <c r="E170" s="22"/>
      <c r="F170" s="11"/>
      <c r="G170" s="11"/>
      <c r="H170" s="31"/>
      <c r="I170" s="31"/>
      <c r="J170" s="31"/>
      <c r="K170" s="31"/>
      <c r="L170" s="132"/>
      <c r="M170" s="3"/>
      <c r="N170" s="3"/>
      <c r="O170" s="3"/>
      <c r="P170" s="3"/>
      <c r="Q170" s="3"/>
      <c r="R170" s="3"/>
      <c r="S170" s="3"/>
      <c r="T170" s="3"/>
      <c r="U170" s="3"/>
      <c r="V170" s="3"/>
      <c r="W170" s="3"/>
      <c r="X170" s="3"/>
      <c r="Y170" s="3"/>
      <c r="Z170" s="3"/>
      <c r="AA170" s="3"/>
      <c r="AB170" s="3"/>
      <c r="AC170" s="3"/>
    </row>
    <row r="171">
      <c r="A171" s="134"/>
      <c r="B171" s="22"/>
      <c r="C171" s="22"/>
      <c r="D171" s="22"/>
      <c r="E171" s="22"/>
      <c r="F171" s="11"/>
      <c r="G171" s="11"/>
      <c r="H171" s="31"/>
      <c r="I171" s="31"/>
      <c r="J171" s="31"/>
      <c r="K171" s="31"/>
      <c r="L171" s="132"/>
      <c r="M171" s="3"/>
      <c r="N171" s="3"/>
      <c r="O171" s="3"/>
      <c r="P171" s="3"/>
      <c r="Q171" s="3"/>
      <c r="R171" s="3"/>
      <c r="S171" s="3"/>
      <c r="T171" s="3"/>
      <c r="U171" s="3"/>
      <c r="V171" s="3"/>
      <c r="W171" s="3"/>
      <c r="X171" s="3"/>
      <c r="Y171" s="3"/>
      <c r="Z171" s="3"/>
      <c r="AA171" s="3"/>
      <c r="AB171" s="3"/>
      <c r="AC171" s="3"/>
    </row>
    <row r="172">
      <c r="A172" s="134"/>
      <c r="B172" s="22"/>
      <c r="C172" s="22"/>
      <c r="D172" s="22"/>
      <c r="E172" s="22"/>
      <c r="F172" s="11"/>
      <c r="G172" s="11"/>
      <c r="H172" s="31"/>
      <c r="I172" s="31"/>
      <c r="J172" s="31"/>
      <c r="K172" s="31"/>
      <c r="L172" s="132"/>
      <c r="M172" s="3"/>
      <c r="N172" s="3"/>
      <c r="O172" s="3"/>
      <c r="P172" s="3"/>
      <c r="Q172" s="3"/>
      <c r="R172" s="3"/>
      <c r="S172" s="3"/>
      <c r="T172" s="3"/>
      <c r="U172" s="3"/>
      <c r="V172" s="3"/>
      <c r="W172" s="3"/>
      <c r="X172" s="3"/>
      <c r="Y172" s="3"/>
      <c r="Z172" s="3"/>
      <c r="AA172" s="3"/>
      <c r="AB172" s="3"/>
      <c r="AC172" s="3"/>
    </row>
    <row r="173">
      <c r="A173" s="134"/>
      <c r="B173" s="22"/>
      <c r="C173" s="22"/>
      <c r="D173" s="22"/>
      <c r="E173" s="22"/>
      <c r="F173" s="11"/>
      <c r="G173" s="11"/>
      <c r="H173" s="31"/>
      <c r="I173" s="31"/>
      <c r="J173" s="31"/>
      <c r="K173" s="31"/>
      <c r="L173" s="132"/>
      <c r="M173" s="3"/>
      <c r="N173" s="3"/>
      <c r="O173" s="3"/>
      <c r="P173" s="3"/>
      <c r="Q173" s="3"/>
      <c r="R173" s="3"/>
      <c r="S173" s="3"/>
      <c r="T173" s="3"/>
      <c r="U173" s="3"/>
      <c r="V173" s="3"/>
      <c r="W173" s="3"/>
      <c r="X173" s="3"/>
      <c r="Y173" s="3"/>
      <c r="Z173" s="3"/>
      <c r="AA173" s="3"/>
      <c r="AB173" s="3"/>
      <c r="AC173" s="3"/>
    </row>
    <row r="174">
      <c r="A174" s="134"/>
      <c r="B174" s="22"/>
      <c r="C174" s="22"/>
      <c r="D174" s="22"/>
      <c r="E174" s="22"/>
      <c r="F174" s="11"/>
      <c r="G174" s="11"/>
      <c r="H174" s="31"/>
      <c r="I174" s="31"/>
      <c r="J174" s="31"/>
      <c r="K174" s="31"/>
      <c r="L174" s="132"/>
      <c r="M174" s="3"/>
      <c r="N174" s="3"/>
      <c r="O174" s="3"/>
      <c r="P174" s="3"/>
      <c r="Q174" s="3"/>
      <c r="R174" s="3"/>
      <c r="S174" s="3"/>
      <c r="T174" s="3"/>
      <c r="U174" s="3"/>
      <c r="V174" s="3"/>
      <c r="W174" s="3"/>
      <c r="X174" s="3"/>
      <c r="Y174" s="3"/>
      <c r="Z174" s="3"/>
      <c r="AA174" s="3"/>
      <c r="AB174" s="3"/>
      <c r="AC174" s="3"/>
    </row>
    <row r="175">
      <c r="A175" s="134"/>
      <c r="B175" s="22"/>
      <c r="C175" s="22"/>
      <c r="D175" s="22"/>
      <c r="E175" s="22"/>
      <c r="F175" s="11"/>
      <c r="G175" s="11"/>
      <c r="H175" s="31"/>
      <c r="I175" s="31"/>
      <c r="J175" s="31"/>
      <c r="K175" s="31"/>
      <c r="L175" s="132"/>
      <c r="M175" s="3"/>
      <c r="N175" s="3"/>
      <c r="O175" s="3"/>
      <c r="P175" s="3"/>
      <c r="Q175" s="3"/>
      <c r="R175" s="3"/>
      <c r="S175" s="3"/>
      <c r="T175" s="3"/>
      <c r="U175" s="3"/>
      <c r="V175" s="3"/>
      <c r="W175" s="3"/>
      <c r="X175" s="3"/>
      <c r="Y175" s="3"/>
      <c r="Z175" s="3"/>
      <c r="AA175" s="3"/>
      <c r="AB175" s="3"/>
      <c r="AC175" s="3"/>
    </row>
    <row r="176">
      <c r="A176" s="134"/>
      <c r="B176" s="22"/>
      <c r="C176" s="22"/>
      <c r="D176" s="22"/>
      <c r="E176" s="22"/>
      <c r="F176" s="11"/>
      <c r="G176" s="11"/>
      <c r="H176" s="31"/>
      <c r="I176" s="31"/>
      <c r="J176" s="31"/>
      <c r="K176" s="31"/>
      <c r="L176" s="132"/>
      <c r="M176" s="3"/>
      <c r="N176" s="3"/>
      <c r="O176" s="3"/>
      <c r="P176" s="3"/>
      <c r="Q176" s="3"/>
      <c r="R176" s="3"/>
      <c r="S176" s="3"/>
      <c r="T176" s="3"/>
      <c r="U176" s="3"/>
      <c r="V176" s="3"/>
      <c r="W176" s="3"/>
      <c r="X176" s="3"/>
      <c r="Y176" s="3"/>
      <c r="Z176" s="3"/>
      <c r="AA176" s="3"/>
      <c r="AB176" s="3"/>
      <c r="AC176" s="3"/>
    </row>
    <row r="177">
      <c r="A177" s="134"/>
      <c r="B177" s="22"/>
      <c r="C177" s="22"/>
      <c r="D177" s="22"/>
      <c r="E177" s="22"/>
      <c r="F177" s="11"/>
      <c r="G177" s="11"/>
      <c r="H177" s="31"/>
      <c r="I177" s="31"/>
      <c r="J177" s="31"/>
      <c r="K177" s="31"/>
      <c r="L177" s="132"/>
      <c r="M177" s="3"/>
      <c r="N177" s="3"/>
      <c r="O177" s="3"/>
      <c r="P177" s="3"/>
      <c r="Q177" s="3"/>
      <c r="R177" s="3"/>
      <c r="S177" s="3"/>
      <c r="T177" s="3"/>
      <c r="U177" s="3"/>
      <c r="V177" s="3"/>
      <c r="W177" s="3"/>
      <c r="X177" s="3"/>
      <c r="Y177" s="3"/>
      <c r="Z177" s="3"/>
      <c r="AA177" s="3"/>
      <c r="AB177" s="3"/>
      <c r="AC177" s="3"/>
    </row>
    <row r="178">
      <c r="A178" s="135"/>
      <c r="B178" s="25"/>
      <c r="C178" s="25"/>
      <c r="D178" s="25"/>
      <c r="E178" s="25"/>
      <c r="F178" s="11"/>
      <c r="G178" s="11"/>
      <c r="H178" s="31"/>
      <c r="I178" s="31"/>
      <c r="J178" s="31"/>
      <c r="K178" s="31"/>
      <c r="L178" s="132"/>
      <c r="M178" s="3"/>
      <c r="N178" s="3"/>
      <c r="O178" s="3"/>
      <c r="P178" s="3"/>
      <c r="Q178" s="3"/>
      <c r="R178" s="3"/>
      <c r="S178" s="3"/>
      <c r="T178" s="3"/>
      <c r="U178" s="3"/>
      <c r="V178" s="3"/>
      <c r="W178" s="3"/>
      <c r="X178" s="3"/>
      <c r="Y178" s="3"/>
      <c r="Z178" s="3"/>
      <c r="AA178" s="3"/>
      <c r="AB178" s="3"/>
      <c r="AC178" s="3"/>
    </row>
    <row r="179">
      <c r="A179" s="135"/>
      <c r="B179" s="25"/>
      <c r="C179" s="136"/>
      <c r="D179" s="136"/>
      <c r="E179" s="136"/>
      <c r="F179" s="11"/>
      <c r="G179" s="11"/>
      <c r="H179" s="31"/>
      <c r="I179" s="31"/>
      <c r="J179" s="31"/>
      <c r="K179" s="31"/>
      <c r="L179" s="132"/>
      <c r="M179" s="3"/>
      <c r="N179" s="3"/>
      <c r="O179" s="3"/>
      <c r="P179" s="3"/>
      <c r="Q179" s="3"/>
      <c r="R179" s="3"/>
      <c r="S179" s="3"/>
      <c r="T179" s="3"/>
      <c r="U179" s="3"/>
      <c r="V179" s="3"/>
      <c r="W179" s="3"/>
      <c r="X179" s="3"/>
      <c r="Y179" s="3"/>
      <c r="Z179" s="3"/>
      <c r="AA179" s="3"/>
      <c r="AB179" s="3"/>
      <c r="AC179" s="3"/>
    </row>
    <row r="180">
      <c r="A180" s="135"/>
      <c r="B180" s="25"/>
      <c r="C180" s="25"/>
      <c r="D180" s="25"/>
      <c r="E180" s="25"/>
      <c r="F180" s="11"/>
      <c r="G180" s="11"/>
      <c r="H180" s="31"/>
      <c r="I180" s="31"/>
      <c r="J180" s="31"/>
      <c r="K180" s="31"/>
      <c r="L180" s="132"/>
      <c r="M180" s="3"/>
      <c r="N180" s="3"/>
      <c r="O180" s="3"/>
      <c r="P180" s="3"/>
      <c r="Q180" s="3"/>
      <c r="R180" s="3"/>
      <c r="S180" s="3"/>
      <c r="T180" s="3"/>
      <c r="U180" s="3"/>
      <c r="V180" s="3"/>
      <c r="W180" s="3"/>
      <c r="X180" s="3"/>
      <c r="Y180" s="3"/>
      <c r="Z180" s="3"/>
      <c r="AA180" s="3"/>
      <c r="AB180" s="3"/>
      <c r="AC180" s="3"/>
    </row>
    <row r="181">
      <c r="A181" s="137"/>
      <c r="B181" s="29"/>
      <c r="C181" s="29"/>
      <c r="D181" s="29"/>
      <c r="E181" s="29"/>
      <c r="F181" s="11"/>
      <c r="G181" s="11"/>
      <c r="H181" s="31"/>
      <c r="I181" s="31"/>
      <c r="J181" s="31"/>
      <c r="K181" s="31"/>
      <c r="L181" s="132"/>
      <c r="M181" s="3"/>
      <c r="N181" s="3"/>
      <c r="O181" s="3"/>
      <c r="P181" s="3"/>
      <c r="Q181" s="3"/>
      <c r="R181" s="3"/>
      <c r="S181" s="3"/>
      <c r="T181" s="3"/>
      <c r="U181" s="3"/>
      <c r="V181" s="3"/>
      <c r="W181" s="3"/>
      <c r="X181" s="3"/>
      <c r="Y181" s="3"/>
      <c r="Z181" s="3"/>
      <c r="AA181" s="3"/>
      <c r="AB181" s="3"/>
      <c r="AC181" s="3"/>
    </row>
    <row r="182">
      <c r="A182" s="137"/>
      <c r="B182" s="29"/>
      <c r="C182" s="29"/>
      <c r="D182" s="29"/>
      <c r="E182" s="29"/>
      <c r="F182" s="11"/>
      <c r="G182" s="11"/>
      <c r="H182" s="31"/>
      <c r="I182" s="31"/>
      <c r="J182" s="31"/>
      <c r="K182" s="31"/>
      <c r="L182" s="132"/>
      <c r="M182" s="3"/>
      <c r="N182" s="3"/>
      <c r="O182" s="3"/>
      <c r="P182" s="3"/>
      <c r="Q182" s="3"/>
      <c r="R182" s="3"/>
      <c r="S182" s="3"/>
      <c r="T182" s="3"/>
      <c r="U182" s="3"/>
      <c r="V182" s="3"/>
      <c r="W182" s="3"/>
      <c r="X182" s="3"/>
      <c r="Y182" s="3"/>
      <c r="Z182" s="3"/>
      <c r="AA182" s="3"/>
      <c r="AB182" s="3"/>
      <c r="AC182" s="3"/>
    </row>
    <row r="183">
      <c r="A183" s="137"/>
      <c r="B183" s="29"/>
      <c r="C183" s="29"/>
      <c r="D183" s="29"/>
      <c r="E183" s="29"/>
      <c r="F183" s="11"/>
      <c r="G183" s="11"/>
      <c r="H183" s="31"/>
      <c r="I183" s="31"/>
      <c r="J183" s="31"/>
      <c r="K183" s="31"/>
      <c r="L183" s="132"/>
      <c r="M183" s="3"/>
      <c r="N183" s="3"/>
      <c r="O183" s="3"/>
      <c r="P183" s="3"/>
      <c r="Q183" s="3"/>
      <c r="R183" s="3"/>
      <c r="S183" s="3"/>
      <c r="T183" s="3"/>
      <c r="U183" s="3"/>
      <c r="V183" s="3"/>
      <c r="W183" s="3"/>
      <c r="X183" s="3"/>
      <c r="Y183" s="3"/>
      <c r="Z183" s="3"/>
      <c r="AA183" s="3"/>
      <c r="AB183" s="3"/>
      <c r="AC183" s="3"/>
    </row>
    <row r="184">
      <c r="A184" s="137"/>
      <c r="B184" s="29"/>
      <c r="C184" s="29"/>
      <c r="D184" s="29"/>
      <c r="E184" s="29"/>
      <c r="F184" s="11"/>
      <c r="G184" s="11"/>
      <c r="H184" s="31"/>
      <c r="I184" s="31"/>
      <c r="J184" s="31"/>
      <c r="K184" s="31"/>
      <c r="L184" s="132"/>
      <c r="M184" s="3"/>
      <c r="N184" s="3"/>
      <c r="O184" s="3"/>
      <c r="P184" s="3"/>
      <c r="Q184" s="3"/>
      <c r="R184" s="3"/>
      <c r="S184" s="3"/>
      <c r="T184" s="3"/>
      <c r="U184" s="3"/>
      <c r="V184" s="3"/>
      <c r="W184" s="3"/>
      <c r="X184" s="3"/>
      <c r="Y184" s="3"/>
      <c r="Z184" s="3"/>
      <c r="AA184" s="3"/>
      <c r="AB184" s="3"/>
      <c r="AC184" s="3"/>
    </row>
    <row r="185">
      <c r="A185" s="137"/>
      <c r="B185" s="29"/>
      <c r="C185" s="29"/>
      <c r="D185" s="29"/>
      <c r="E185" s="29"/>
      <c r="F185" s="11"/>
      <c r="G185" s="11"/>
      <c r="H185" s="31"/>
      <c r="I185" s="31"/>
      <c r="J185" s="31"/>
      <c r="K185" s="31"/>
      <c r="L185" s="132"/>
      <c r="M185" s="3"/>
      <c r="N185" s="3"/>
      <c r="O185" s="3"/>
      <c r="P185" s="3"/>
      <c r="Q185" s="3"/>
      <c r="R185" s="3"/>
      <c r="S185" s="3"/>
      <c r="T185" s="3"/>
      <c r="U185" s="3"/>
      <c r="V185" s="3"/>
      <c r="W185" s="3"/>
      <c r="X185" s="3"/>
      <c r="Y185" s="3"/>
      <c r="Z185" s="3"/>
      <c r="AA185" s="3"/>
      <c r="AB185" s="3"/>
      <c r="AC185" s="3"/>
    </row>
    <row r="186">
      <c r="A186" s="137"/>
      <c r="B186" s="29"/>
      <c r="C186" s="29"/>
      <c r="D186" s="29"/>
      <c r="E186" s="29"/>
      <c r="F186" s="11"/>
      <c r="G186" s="11"/>
      <c r="H186" s="31"/>
      <c r="I186" s="31"/>
      <c r="J186" s="31"/>
      <c r="K186" s="31"/>
      <c r="L186" s="132"/>
      <c r="M186" s="3"/>
      <c r="N186" s="3"/>
      <c r="O186" s="3"/>
      <c r="P186" s="3"/>
      <c r="Q186" s="3"/>
      <c r="R186" s="3"/>
      <c r="S186" s="3"/>
      <c r="T186" s="3"/>
      <c r="U186" s="3"/>
      <c r="V186" s="3"/>
      <c r="W186" s="3"/>
      <c r="X186" s="3"/>
      <c r="Y186" s="3"/>
      <c r="Z186" s="3"/>
      <c r="AA186" s="3"/>
      <c r="AB186" s="3"/>
      <c r="AC186" s="3"/>
    </row>
    <row r="187">
      <c r="A187" s="137"/>
      <c r="B187" s="29"/>
      <c r="C187" s="29"/>
      <c r="D187" s="29"/>
      <c r="E187" s="29"/>
      <c r="F187" s="11"/>
      <c r="G187" s="11"/>
      <c r="H187" s="31"/>
      <c r="I187" s="31"/>
      <c r="J187" s="31"/>
      <c r="K187" s="31"/>
      <c r="L187" s="132"/>
      <c r="M187" s="3"/>
      <c r="N187" s="3"/>
      <c r="O187" s="3"/>
      <c r="P187" s="3"/>
      <c r="Q187" s="3"/>
      <c r="R187" s="3"/>
      <c r="S187" s="3"/>
      <c r="T187" s="3"/>
      <c r="U187" s="3"/>
      <c r="V187" s="3"/>
      <c r="W187" s="3"/>
      <c r="X187" s="3"/>
      <c r="Y187" s="3"/>
      <c r="Z187" s="3"/>
      <c r="AA187" s="3"/>
      <c r="AB187" s="3"/>
      <c r="AC187" s="3"/>
    </row>
    <row r="188">
      <c r="A188" s="137"/>
      <c r="B188" s="29"/>
      <c r="C188" s="29"/>
      <c r="D188" s="29"/>
      <c r="E188" s="29"/>
      <c r="F188" s="11"/>
      <c r="G188" s="11"/>
      <c r="H188" s="31"/>
      <c r="I188" s="31"/>
      <c r="J188" s="31"/>
      <c r="K188" s="31"/>
      <c r="L188" s="132"/>
      <c r="M188" s="3"/>
      <c r="N188" s="3"/>
      <c r="O188" s="3"/>
      <c r="P188" s="3"/>
      <c r="Q188" s="3"/>
      <c r="R188" s="3"/>
      <c r="S188" s="3"/>
      <c r="T188" s="3"/>
      <c r="U188" s="3"/>
      <c r="V188" s="3"/>
      <c r="W188" s="3"/>
      <c r="X188" s="3"/>
      <c r="Y188" s="3"/>
      <c r="Z188" s="3"/>
      <c r="AA188" s="3"/>
      <c r="AB188" s="3"/>
      <c r="AC188" s="3"/>
    </row>
    <row r="189">
      <c r="A189" s="137"/>
      <c r="B189" s="29"/>
      <c r="C189" s="29"/>
      <c r="D189" s="29"/>
      <c r="E189" s="29"/>
      <c r="F189" s="11"/>
      <c r="G189" s="11"/>
      <c r="H189" s="31"/>
      <c r="I189" s="31"/>
      <c r="J189" s="31"/>
      <c r="K189" s="31"/>
      <c r="L189" s="132"/>
      <c r="M189" s="3"/>
      <c r="N189" s="3"/>
      <c r="O189" s="3"/>
      <c r="P189" s="3"/>
      <c r="Q189" s="3"/>
      <c r="R189" s="3"/>
      <c r="S189" s="3"/>
      <c r="T189" s="3"/>
      <c r="U189" s="3"/>
      <c r="V189" s="3"/>
      <c r="W189" s="3"/>
      <c r="X189" s="3"/>
      <c r="Y189" s="3"/>
      <c r="Z189" s="3"/>
      <c r="AA189" s="3"/>
      <c r="AB189" s="3"/>
      <c r="AC189" s="3"/>
    </row>
    <row r="190">
      <c r="A190" s="138"/>
      <c r="B190" s="31"/>
      <c r="C190" s="31"/>
      <c r="D190" s="31"/>
      <c r="E190" s="31"/>
      <c r="F190" s="31"/>
      <c r="G190" s="31"/>
      <c r="H190" s="31"/>
      <c r="I190" s="31"/>
      <c r="J190" s="31"/>
      <c r="K190" s="31"/>
      <c r="L190" s="132"/>
      <c r="M190" s="3"/>
      <c r="N190" s="3"/>
      <c r="O190" s="3"/>
      <c r="P190" s="3"/>
      <c r="Q190" s="3"/>
      <c r="R190" s="3"/>
      <c r="S190" s="3"/>
      <c r="T190" s="3"/>
      <c r="U190" s="3"/>
      <c r="V190" s="3"/>
      <c r="W190" s="3"/>
      <c r="X190" s="3"/>
      <c r="Y190" s="3"/>
      <c r="Z190" s="3"/>
      <c r="AA190" s="3"/>
      <c r="AB190" s="3"/>
      <c r="AC190" s="3"/>
    </row>
    <row r="191">
      <c r="A191" s="138"/>
      <c r="B191" s="31"/>
      <c r="C191" s="31"/>
      <c r="D191" s="31"/>
      <c r="E191" s="31"/>
      <c r="F191" s="31"/>
      <c r="G191" s="31"/>
      <c r="H191" s="31"/>
      <c r="I191" s="31"/>
      <c r="J191" s="31"/>
      <c r="K191" s="31"/>
      <c r="L191" s="132"/>
      <c r="M191" s="3"/>
      <c r="N191" s="3"/>
      <c r="O191" s="3"/>
      <c r="P191" s="3"/>
      <c r="Q191" s="3"/>
      <c r="R191" s="3"/>
      <c r="S191" s="3"/>
      <c r="T191" s="3"/>
      <c r="U191" s="3"/>
      <c r="V191" s="3"/>
      <c r="W191" s="3"/>
      <c r="X191" s="3"/>
      <c r="Y191" s="3"/>
      <c r="Z191" s="3"/>
      <c r="AA191" s="3"/>
      <c r="AB191" s="3"/>
      <c r="AC191" s="3"/>
    </row>
    <row r="192">
      <c r="A192" s="138"/>
      <c r="B192" s="31"/>
      <c r="C192" s="31"/>
      <c r="D192" s="31"/>
      <c r="E192" s="31"/>
      <c r="F192" s="31"/>
      <c r="G192" s="31"/>
      <c r="H192" s="31"/>
      <c r="I192" s="31"/>
      <c r="J192" s="31"/>
      <c r="K192" s="31"/>
      <c r="L192" s="132"/>
      <c r="M192" s="3"/>
      <c r="N192" s="3"/>
      <c r="O192" s="3"/>
      <c r="P192" s="3"/>
      <c r="Q192" s="3"/>
      <c r="R192" s="3"/>
      <c r="S192" s="3"/>
      <c r="T192" s="3"/>
      <c r="U192" s="3"/>
      <c r="V192" s="3"/>
      <c r="W192" s="3"/>
      <c r="X192" s="3"/>
      <c r="Y192" s="3"/>
      <c r="Z192" s="3"/>
      <c r="AA192" s="3"/>
      <c r="AB192" s="3"/>
      <c r="AC192" s="3"/>
    </row>
    <row r="193">
      <c r="A193" s="139" t="s">
        <v>57</v>
      </c>
      <c r="B193" s="31"/>
      <c r="C193" s="31"/>
      <c r="D193" s="31"/>
      <c r="E193" s="31"/>
      <c r="F193" s="31"/>
      <c r="G193" s="31"/>
      <c r="H193" s="31"/>
      <c r="I193" s="31"/>
      <c r="J193" s="31"/>
      <c r="K193" s="31"/>
      <c r="L193" s="132"/>
      <c r="M193" s="3"/>
      <c r="N193" s="3"/>
      <c r="O193" s="3"/>
      <c r="P193" s="3"/>
      <c r="Q193" s="3"/>
      <c r="R193" s="3"/>
      <c r="S193" s="3"/>
      <c r="T193" s="3"/>
      <c r="U193" s="3"/>
      <c r="V193" s="3"/>
      <c r="W193" s="3"/>
      <c r="X193" s="3"/>
      <c r="Y193" s="3"/>
      <c r="Z193" s="3"/>
      <c r="AA193" s="3"/>
      <c r="AB193" s="3"/>
      <c r="AC193" s="3"/>
    </row>
    <row r="194">
      <c r="A194" s="139" t="s">
        <v>53</v>
      </c>
      <c r="B194" s="31"/>
      <c r="C194" s="34"/>
      <c r="D194" s="31"/>
      <c r="E194" s="31"/>
      <c r="F194" s="31"/>
      <c r="G194" s="31"/>
      <c r="H194" s="31"/>
      <c r="I194" s="31"/>
      <c r="J194" s="31"/>
      <c r="K194" s="31"/>
      <c r="L194" s="132"/>
      <c r="M194" s="3"/>
      <c r="N194" s="3"/>
      <c r="O194" s="3"/>
      <c r="P194" s="3"/>
      <c r="Q194" s="3"/>
      <c r="R194" s="3"/>
      <c r="S194" s="3"/>
      <c r="T194" s="3"/>
      <c r="U194" s="3"/>
      <c r="V194" s="3"/>
      <c r="W194" s="3"/>
      <c r="X194" s="3"/>
      <c r="Y194" s="3"/>
      <c r="Z194" s="3"/>
      <c r="AA194" s="3"/>
      <c r="AB194" s="3"/>
      <c r="AC194" s="3"/>
    </row>
    <row r="195">
      <c r="A195" s="139" t="s">
        <v>58</v>
      </c>
      <c r="B195" s="31"/>
      <c r="C195" s="34"/>
      <c r="D195" s="31"/>
      <c r="E195" s="31"/>
      <c r="F195" s="31"/>
      <c r="G195" s="31"/>
      <c r="H195" s="31"/>
      <c r="I195" s="31"/>
      <c r="J195" s="31"/>
      <c r="K195" s="31"/>
      <c r="L195" s="132"/>
      <c r="M195" s="3"/>
      <c r="N195" s="3"/>
      <c r="O195" s="3"/>
      <c r="P195" s="3"/>
      <c r="Q195" s="3"/>
      <c r="R195" s="3"/>
      <c r="S195" s="3"/>
      <c r="T195" s="3"/>
      <c r="U195" s="3"/>
      <c r="V195" s="3"/>
      <c r="W195" s="3"/>
      <c r="X195" s="3"/>
      <c r="Y195" s="3"/>
      <c r="Z195" s="3"/>
      <c r="AA195" s="3"/>
      <c r="AB195" s="3"/>
      <c r="AC195" s="3"/>
    </row>
    <row r="196">
      <c r="A196" s="140" t="s">
        <v>59</v>
      </c>
      <c r="B196" s="34"/>
      <c r="C196" s="34"/>
      <c r="D196" s="34"/>
      <c r="E196" s="34"/>
      <c r="F196" s="34"/>
      <c r="G196" s="34"/>
      <c r="H196" s="34"/>
      <c r="I196" s="34"/>
      <c r="J196" s="34"/>
      <c r="K196" s="34"/>
      <c r="L196" s="141"/>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6" t="s">
        <v>60</v>
      </c>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11" t="s">
        <v>61</v>
      </c>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11" t="s">
        <v>62</v>
      </c>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11" t="s">
        <v>63</v>
      </c>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row>
  </sheetData>
  <autoFilter ref="$A$1:$L$189"/>
  <conditionalFormatting sqref="F115:F189">
    <cfRule type="notContainsBlanks" dxfId="0" priority="1">
      <formula>LEN(TRIM(F115))&gt;0</formula>
    </cfRule>
  </conditionalFormatting>
  <dataValidations>
    <dataValidation type="list" allowBlank="1" showErrorMessage="1" sqref="G3:G9 G11 G13:G27 G41:G43 G45:G104 G108:G137 G139:G152 G158:G189">
      <formula1>"база данных,интеграция с платежной системой,автоматические уведомления без сложной логики,AI-аналитика,администрирование,эскалация,интеграция с ТГ"</formula1>
    </dataValidation>
    <dataValidation type="list" allowBlank="1" showErrorMessage="1" sqref="F3:F9 F11 F13:F27 F41:F43 F45:F104 F108:F115">
      <formula1>"уже умеет,не умеет,50/50"</formula1>
    </dataValidation>
    <dataValidation type="list" allowBlank="1" showErrorMessage="1" sqref="F116:F137 F139:F152 F158:F189">
      <formula1>"must - база ,unic - фишка ,features - масштабирование,excite - восторг,eco - экосистема,неизвестно"</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6.5"/>
    <col customWidth="1" min="3" max="3" width="12.88"/>
    <col customWidth="1" min="4" max="4" width="58.63"/>
    <col customWidth="1" min="5" max="5" width="50.75"/>
    <col customWidth="1" min="6" max="6" width="13.0"/>
    <col customWidth="1" min="7" max="7" width="18.13"/>
    <col customWidth="1" min="8" max="8" width="11.88"/>
    <col customWidth="1" min="9" max="9" width="11.38"/>
    <col customWidth="1" min="10" max="10" width="28.88"/>
    <col customWidth="1" min="11" max="11" width="32.63"/>
    <col customWidth="1" min="12" max="12" width="14.38"/>
    <col customWidth="1" min="13" max="13" width="25.88"/>
  </cols>
  <sheetData>
    <row r="1" ht="166.5" customHeight="1">
      <c r="A1" s="1"/>
      <c r="B1" s="1" t="s">
        <v>64</v>
      </c>
      <c r="C1" s="1" t="s">
        <v>9</v>
      </c>
      <c r="D1" s="1" t="s">
        <v>10</v>
      </c>
      <c r="E1" s="1" t="s">
        <v>255</v>
      </c>
      <c r="F1" s="1" t="s">
        <v>17</v>
      </c>
      <c r="G1" s="1" t="s">
        <v>256</v>
      </c>
      <c r="H1" s="1" t="s">
        <v>11</v>
      </c>
      <c r="I1" s="1" t="s">
        <v>65</v>
      </c>
      <c r="J1" s="1" t="s">
        <v>257</v>
      </c>
      <c r="K1" s="1" t="s">
        <v>67</v>
      </c>
      <c r="L1" s="1" t="s">
        <v>14</v>
      </c>
      <c r="M1" s="1" t="s">
        <v>15</v>
      </c>
      <c r="N1" s="1" t="s">
        <v>16</v>
      </c>
      <c r="O1" s="1" t="s">
        <v>68</v>
      </c>
    </row>
    <row r="2">
      <c r="A2" s="142"/>
      <c r="B2" s="37" t="s">
        <v>9</v>
      </c>
      <c r="C2" s="6" t="s">
        <v>10</v>
      </c>
      <c r="D2" s="6" t="s">
        <v>11</v>
      </c>
      <c r="E2" s="6"/>
      <c r="F2" s="6" t="s">
        <v>17</v>
      </c>
      <c r="G2" s="38" t="s">
        <v>256</v>
      </c>
      <c r="H2" s="6" t="s">
        <v>69</v>
      </c>
      <c r="I2" s="6"/>
      <c r="J2" s="6" t="s">
        <v>12</v>
      </c>
      <c r="K2" s="6" t="s">
        <v>13</v>
      </c>
      <c r="L2" s="6" t="s">
        <v>14</v>
      </c>
      <c r="M2" s="6" t="s">
        <v>15</v>
      </c>
      <c r="N2" s="6" t="s">
        <v>16</v>
      </c>
      <c r="O2" s="38" t="s">
        <v>19</v>
      </c>
    </row>
    <row r="3">
      <c r="A3" s="39">
        <v>1.0</v>
      </c>
      <c r="B3" s="39" t="s">
        <v>70</v>
      </c>
      <c r="C3" s="40" t="s">
        <v>71</v>
      </c>
      <c r="D3" s="40" t="s">
        <v>72</v>
      </c>
      <c r="E3" s="143" t="s">
        <v>258</v>
      </c>
      <c r="F3" s="40">
        <v>16.0</v>
      </c>
      <c r="G3" s="117" t="s">
        <v>259</v>
      </c>
      <c r="H3" s="40"/>
      <c r="I3" s="40"/>
      <c r="J3" s="40" t="s">
        <v>260</v>
      </c>
      <c r="K3" s="40" t="s">
        <v>261</v>
      </c>
      <c r="L3" s="40"/>
      <c r="M3" s="40"/>
      <c r="N3" s="40"/>
      <c r="O3" s="41"/>
    </row>
    <row r="4">
      <c r="A4" s="39">
        <v>2.0</v>
      </c>
      <c r="B4" s="39" t="s">
        <v>70</v>
      </c>
      <c r="C4" s="40" t="s">
        <v>20</v>
      </c>
      <c r="D4" s="40" t="s">
        <v>73</v>
      </c>
      <c r="E4" s="3"/>
      <c r="F4" s="40">
        <v>6.0</v>
      </c>
      <c r="H4" s="40"/>
      <c r="I4" s="40"/>
      <c r="J4" s="40" t="s">
        <v>260</v>
      </c>
      <c r="K4" s="40" t="s">
        <v>262</v>
      </c>
      <c r="L4" s="40"/>
      <c r="M4" s="40"/>
      <c r="N4" s="40"/>
      <c r="O4" s="41"/>
    </row>
    <row r="5">
      <c r="A5" s="39">
        <v>3.0</v>
      </c>
      <c r="B5" s="39" t="s">
        <v>70</v>
      </c>
      <c r="C5" s="40" t="s">
        <v>20</v>
      </c>
      <c r="D5" s="40" t="s">
        <v>74</v>
      </c>
      <c r="E5" s="3"/>
      <c r="F5" s="40">
        <v>10.0</v>
      </c>
      <c r="H5" s="40"/>
      <c r="I5" s="40"/>
      <c r="J5" s="40" t="s">
        <v>260</v>
      </c>
      <c r="K5" s="40" t="s">
        <v>262</v>
      </c>
      <c r="L5" s="40"/>
      <c r="M5" s="40"/>
      <c r="N5" s="40"/>
      <c r="O5" s="41"/>
    </row>
    <row r="6">
      <c r="A6" s="39">
        <v>4.0</v>
      </c>
      <c r="B6" s="39"/>
      <c r="C6" s="40" t="s">
        <v>20</v>
      </c>
      <c r="D6" s="42" t="s">
        <v>75</v>
      </c>
      <c r="E6" s="3"/>
      <c r="F6" s="40"/>
      <c r="H6" s="40"/>
      <c r="I6" s="40"/>
      <c r="J6" s="40" t="s">
        <v>260</v>
      </c>
      <c r="K6" s="40" t="s">
        <v>261</v>
      </c>
      <c r="L6" s="40"/>
      <c r="M6" s="40"/>
      <c r="N6" s="40"/>
      <c r="O6" s="41"/>
    </row>
    <row r="7">
      <c r="A7" s="39">
        <v>5.0</v>
      </c>
      <c r="B7" s="39" t="s">
        <v>70</v>
      </c>
      <c r="C7" s="42" t="s">
        <v>71</v>
      </c>
      <c r="D7" s="42" t="s">
        <v>76</v>
      </c>
      <c r="E7" s="3"/>
      <c r="F7" s="40"/>
      <c r="H7" s="40"/>
      <c r="I7" s="40"/>
      <c r="J7" s="40" t="s">
        <v>260</v>
      </c>
      <c r="K7" s="40" t="s">
        <v>261</v>
      </c>
      <c r="L7" s="40"/>
      <c r="M7" s="40"/>
      <c r="N7" s="40"/>
      <c r="O7" s="41"/>
    </row>
    <row r="8">
      <c r="A8" s="39">
        <v>6.0</v>
      </c>
      <c r="B8" s="39" t="s">
        <v>70</v>
      </c>
      <c r="C8" s="42" t="s">
        <v>71</v>
      </c>
      <c r="D8" s="42" t="s">
        <v>77</v>
      </c>
      <c r="E8" s="3"/>
      <c r="F8" s="40">
        <v>16.0</v>
      </c>
      <c r="H8" s="40"/>
      <c r="I8" s="40"/>
      <c r="J8" s="40" t="s">
        <v>260</v>
      </c>
      <c r="K8" s="40" t="s">
        <v>263</v>
      </c>
      <c r="L8" s="40"/>
      <c r="M8" s="40"/>
      <c r="N8" s="40"/>
      <c r="O8" s="41"/>
    </row>
    <row r="9">
      <c r="A9" s="39">
        <v>7.0</v>
      </c>
      <c r="B9" s="39" t="s">
        <v>70</v>
      </c>
      <c r="C9" s="42" t="s">
        <v>71</v>
      </c>
      <c r="D9" s="42" t="s">
        <v>78</v>
      </c>
      <c r="E9" s="3"/>
      <c r="F9" s="40">
        <v>10.0</v>
      </c>
      <c r="H9" s="40"/>
      <c r="I9" s="40"/>
      <c r="J9" s="40" t="s">
        <v>260</v>
      </c>
      <c r="K9" s="40" t="s">
        <v>263</v>
      </c>
      <c r="L9" s="40"/>
      <c r="M9" s="40"/>
      <c r="N9" s="40"/>
      <c r="O9" s="41"/>
    </row>
    <row r="10" hidden="1">
      <c r="A10" s="39">
        <v>8.0</v>
      </c>
      <c r="B10" s="39" t="s">
        <v>70</v>
      </c>
      <c r="C10" s="42" t="s">
        <v>20</v>
      </c>
      <c r="D10" s="42" t="s">
        <v>79</v>
      </c>
      <c r="E10" s="144" t="s">
        <v>264</v>
      </c>
      <c r="F10" s="40">
        <v>12.0</v>
      </c>
      <c r="G10" s="117" t="s">
        <v>265</v>
      </c>
      <c r="H10" s="40"/>
      <c r="I10" s="40"/>
      <c r="J10" s="40" t="s">
        <v>266</v>
      </c>
      <c r="K10" s="40"/>
      <c r="L10" s="40"/>
      <c r="M10" s="40"/>
      <c r="N10" s="40"/>
      <c r="O10" s="41"/>
    </row>
    <row r="11">
      <c r="A11" s="39">
        <v>9.0</v>
      </c>
      <c r="B11" s="39" t="s">
        <v>70</v>
      </c>
      <c r="C11" s="42" t="s">
        <v>71</v>
      </c>
      <c r="D11" s="42" t="s">
        <v>80</v>
      </c>
      <c r="E11" s="3"/>
      <c r="F11" s="40"/>
      <c r="H11" s="40"/>
      <c r="I11" s="40"/>
      <c r="J11" s="40" t="s">
        <v>260</v>
      </c>
      <c r="K11" s="40" t="s">
        <v>263</v>
      </c>
      <c r="L11" s="40"/>
      <c r="M11" s="40"/>
      <c r="N11" s="40"/>
      <c r="O11" s="43"/>
    </row>
    <row r="12">
      <c r="A12" s="39">
        <v>10.0</v>
      </c>
      <c r="B12" s="39" t="s">
        <v>70</v>
      </c>
      <c r="C12" s="42" t="s">
        <v>20</v>
      </c>
      <c r="D12" s="42" t="s">
        <v>81</v>
      </c>
      <c r="E12" s="3"/>
      <c r="F12" s="40">
        <v>24.0</v>
      </c>
      <c r="H12" s="40"/>
      <c r="I12" s="40"/>
      <c r="J12" s="40" t="s">
        <v>260</v>
      </c>
      <c r="K12" s="40"/>
      <c r="L12" s="40"/>
      <c r="M12" s="40"/>
      <c r="N12" s="40"/>
      <c r="O12" s="43"/>
    </row>
    <row r="13">
      <c r="A13" s="39">
        <v>11.0</v>
      </c>
      <c r="B13" s="39" t="s">
        <v>70</v>
      </c>
      <c r="C13" s="42" t="s">
        <v>20</v>
      </c>
      <c r="D13" s="42" t="s">
        <v>82</v>
      </c>
      <c r="E13" s="144" t="s">
        <v>267</v>
      </c>
      <c r="F13" s="40"/>
      <c r="G13" s="117" t="s">
        <v>268</v>
      </c>
      <c r="H13" s="40"/>
      <c r="I13" s="40"/>
      <c r="J13" s="40" t="s">
        <v>260</v>
      </c>
      <c r="K13" s="40" t="s">
        <v>261</v>
      </c>
      <c r="L13" s="40"/>
      <c r="M13" s="40"/>
      <c r="N13" s="40"/>
      <c r="O13" s="43"/>
    </row>
    <row r="14">
      <c r="A14" s="39">
        <v>12.0</v>
      </c>
      <c r="B14" s="39" t="s">
        <v>70</v>
      </c>
      <c r="C14" s="44" t="s">
        <v>20</v>
      </c>
      <c r="D14" s="42" t="s">
        <v>83</v>
      </c>
      <c r="E14" s="3"/>
      <c r="F14" s="40">
        <v>6.0</v>
      </c>
      <c r="H14" s="40"/>
      <c r="I14" s="40"/>
      <c r="J14" s="40" t="s">
        <v>260</v>
      </c>
      <c r="K14" s="40" t="s">
        <v>269</v>
      </c>
      <c r="L14" s="40"/>
      <c r="M14" s="40"/>
      <c r="N14" s="40"/>
      <c r="O14" s="45"/>
    </row>
    <row r="15">
      <c r="A15" s="39">
        <v>13.0</v>
      </c>
      <c r="B15" s="39" t="s">
        <v>70</v>
      </c>
      <c r="C15" s="42" t="s">
        <v>20</v>
      </c>
      <c r="D15" s="42" t="s">
        <v>84</v>
      </c>
      <c r="E15" s="144" t="s">
        <v>270</v>
      </c>
      <c r="F15" s="40">
        <v>4.0</v>
      </c>
      <c r="G15" s="117" t="s">
        <v>268</v>
      </c>
      <c r="H15" s="40"/>
      <c r="I15" s="40"/>
      <c r="J15" s="40" t="s">
        <v>260</v>
      </c>
      <c r="K15" s="40" t="s">
        <v>261</v>
      </c>
      <c r="L15" s="40"/>
      <c r="M15" s="40"/>
      <c r="N15" s="40"/>
      <c r="O15" s="43"/>
    </row>
    <row r="16">
      <c r="A16" s="39">
        <v>14.0</v>
      </c>
      <c r="B16" s="39" t="s">
        <v>70</v>
      </c>
      <c r="C16" s="42" t="s">
        <v>20</v>
      </c>
      <c r="D16" s="42" t="s">
        <v>85</v>
      </c>
      <c r="E16" s="3"/>
      <c r="F16" s="40">
        <v>4.0</v>
      </c>
      <c r="H16" s="40"/>
      <c r="I16" s="40"/>
      <c r="J16" s="40" t="s">
        <v>260</v>
      </c>
      <c r="K16" s="40" t="s">
        <v>269</v>
      </c>
      <c r="L16" s="40"/>
      <c r="M16" s="40"/>
      <c r="N16" s="40"/>
      <c r="O16" s="43"/>
    </row>
    <row r="17">
      <c r="A17" s="39">
        <v>15.0</v>
      </c>
      <c r="B17" s="39" t="s">
        <v>70</v>
      </c>
      <c r="C17" s="42" t="s">
        <v>20</v>
      </c>
      <c r="D17" s="42" t="s">
        <v>86</v>
      </c>
      <c r="E17" s="3"/>
      <c r="F17" s="40"/>
      <c r="H17" s="40"/>
      <c r="I17" s="40"/>
      <c r="J17" s="40" t="s">
        <v>260</v>
      </c>
      <c r="K17" s="40" t="s">
        <v>269</v>
      </c>
      <c r="L17" s="40"/>
      <c r="M17" s="40"/>
      <c r="N17" s="40"/>
      <c r="O17" s="43"/>
    </row>
    <row r="18">
      <c r="A18" s="39">
        <v>16.0</v>
      </c>
      <c r="B18" s="46" t="s">
        <v>87</v>
      </c>
      <c r="C18" s="47" t="s">
        <v>88</v>
      </c>
      <c r="D18" s="47" t="s">
        <v>89</v>
      </c>
      <c r="E18" s="144" t="s">
        <v>271</v>
      </c>
      <c r="F18" s="48">
        <v>32.0</v>
      </c>
      <c r="G18" s="118" t="s">
        <v>272</v>
      </c>
      <c r="H18" s="48"/>
      <c r="I18" s="48"/>
      <c r="J18" s="40" t="s">
        <v>260</v>
      </c>
      <c r="K18" s="48" t="s">
        <v>269</v>
      </c>
      <c r="L18" s="50"/>
      <c r="M18" s="50"/>
      <c r="N18" s="50"/>
      <c r="O18" s="51"/>
    </row>
    <row r="19" ht="30.0" customHeight="1">
      <c r="A19" s="39">
        <v>17.0</v>
      </c>
      <c r="B19" s="145" t="s">
        <v>87</v>
      </c>
      <c r="C19" s="48" t="s">
        <v>20</v>
      </c>
      <c r="D19" s="48" t="s">
        <v>273</v>
      </c>
      <c r="E19" s="118"/>
      <c r="F19" s="50"/>
      <c r="H19" s="48"/>
      <c r="I19" s="48"/>
      <c r="J19" s="40" t="s">
        <v>260</v>
      </c>
      <c r="K19" s="48"/>
      <c r="L19" s="50"/>
      <c r="M19" s="50"/>
      <c r="N19" s="50"/>
      <c r="O19" s="51"/>
    </row>
    <row r="20" hidden="1">
      <c r="A20" s="39">
        <v>18.0</v>
      </c>
      <c r="B20" s="52" t="s">
        <v>87</v>
      </c>
      <c r="C20" s="48" t="s">
        <v>20</v>
      </c>
      <c r="D20" s="48" t="s">
        <v>274</v>
      </c>
      <c r="E20" s="144" t="s">
        <v>275</v>
      </c>
      <c r="F20" s="50"/>
      <c r="G20" s="117" t="s">
        <v>276</v>
      </c>
      <c r="H20" s="48"/>
      <c r="I20" s="48"/>
      <c r="J20" s="40" t="s">
        <v>266</v>
      </c>
      <c r="K20" s="48" t="s">
        <v>277</v>
      </c>
      <c r="L20" s="50"/>
      <c r="M20" s="50"/>
      <c r="N20" s="50"/>
      <c r="O20" s="51"/>
    </row>
    <row r="21" hidden="1">
      <c r="A21" s="39">
        <v>19.0</v>
      </c>
      <c r="B21" s="52" t="s">
        <v>87</v>
      </c>
      <c r="C21" s="48" t="s">
        <v>20</v>
      </c>
      <c r="D21" s="48" t="s">
        <v>91</v>
      </c>
      <c r="E21" s="146" t="s">
        <v>278</v>
      </c>
      <c r="F21" s="48">
        <v>16.0</v>
      </c>
      <c r="G21" s="117" t="s">
        <v>279</v>
      </c>
      <c r="H21" s="48"/>
      <c r="I21" s="48"/>
      <c r="J21" s="40" t="s">
        <v>280</v>
      </c>
      <c r="K21" s="48" t="s">
        <v>269</v>
      </c>
      <c r="L21" s="50"/>
      <c r="M21" s="50"/>
      <c r="N21" s="50"/>
      <c r="O21" s="51"/>
    </row>
    <row r="22">
      <c r="A22" s="39">
        <v>20.0</v>
      </c>
      <c r="B22" s="52" t="s">
        <v>87</v>
      </c>
      <c r="C22" s="48" t="s">
        <v>20</v>
      </c>
      <c r="D22" s="48" t="s">
        <v>92</v>
      </c>
      <c r="E22" s="118" t="s">
        <v>281</v>
      </c>
      <c r="F22" s="50"/>
      <c r="H22" s="48"/>
      <c r="I22" s="48"/>
      <c r="J22" s="40" t="s">
        <v>260</v>
      </c>
      <c r="K22" s="48" t="s">
        <v>277</v>
      </c>
      <c r="L22" s="50"/>
      <c r="M22" s="50"/>
      <c r="N22" s="50"/>
      <c r="O22" s="51"/>
    </row>
    <row r="23" hidden="1">
      <c r="A23" s="39">
        <v>21.0</v>
      </c>
      <c r="B23" s="52" t="s">
        <v>87</v>
      </c>
      <c r="C23" s="48" t="s">
        <v>20</v>
      </c>
      <c r="D23" s="48" t="s">
        <v>93</v>
      </c>
      <c r="E23" s="118" t="s">
        <v>282</v>
      </c>
      <c r="F23" s="48">
        <v>8.0</v>
      </c>
      <c r="H23" s="48"/>
      <c r="I23" s="48"/>
      <c r="J23" s="40" t="s">
        <v>283</v>
      </c>
      <c r="K23" s="48" t="s">
        <v>277</v>
      </c>
      <c r="L23" s="50"/>
      <c r="M23" s="50"/>
      <c r="N23" s="50"/>
      <c r="O23" s="51"/>
    </row>
    <row r="24">
      <c r="A24" s="39">
        <v>22.0</v>
      </c>
      <c r="B24" s="52" t="s">
        <v>87</v>
      </c>
      <c r="C24" s="48" t="s">
        <v>20</v>
      </c>
      <c r="D24" s="48" t="s">
        <v>94</v>
      </c>
      <c r="E24" s="3"/>
      <c r="F24" s="48">
        <v>2.0</v>
      </c>
      <c r="H24" s="48"/>
      <c r="I24" s="48"/>
      <c r="J24" s="40" t="s">
        <v>260</v>
      </c>
      <c r="K24" s="48" t="s">
        <v>277</v>
      </c>
      <c r="L24" s="50"/>
      <c r="M24" s="50"/>
      <c r="N24" s="50"/>
      <c r="O24" s="51"/>
    </row>
    <row r="25">
      <c r="A25" s="39">
        <v>23.0</v>
      </c>
      <c r="B25" s="52" t="s">
        <v>87</v>
      </c>
      <c r="C25" s="48" t="s">
        <v>20</v>
      </c>
      <c r="D25" s="48" t="s">
        <v>95</v>
      </c>
      <c r="E25" s="3"/>
      <c r="F25" s="48">
        <v>2.0</v>
      </c>
      <c r="H25" s="48"/>
      <c r="I25" s="48"/>
      <c r="J25" s="40" t="s">
        <v>260</v>
      </c>
      <c r="K25" s="48" t="s">
        <v>269</v>
      </c>
      <c r="L25" s="50"/>
      <c r="M25" s="50"/>
      <c r="N25" s="50"/>
      <c r="O25" s="51"/>
    </row>
    <row r="26" hidden="1">
      <c r="A26" s="39">
        <v>24.0</v>
      </c>
      <c r="B26" s="52" t="s">
        <v>87</v>
      </c>
      <c r="C26" s="48" t="s">
        <v>20</v>
      </c>
      <c r="D26" s="48" t="s">
        <v>96</v>
      </c>
      <c r="E26" s="146" t="s">
        <v>284</v>
      </c>
      <c r="F26" s="50"/>
      <c r="G26" s="117" t="s">
        <v>285</v>
      </c>
      <c r="H26" s="48"/>
      <c r="I26" s="48"/>
      <c r="J26" s="40" t="s">
        <v>266</v>
      </c>
      <c r="K26" s="48" t="s">
        <v>277</v>
      </c>
      <c r="L26" s="50"/>
      <c r="M26" s="50"/>
      <c r="N26" s="50"/>
      <c r="O26" s="51"/>
    </row>
    <row r="27" hidden="1">
      <c r="A27" s="39">
        <v>25.0</v>
      </c>
      <c r="B27" s="52" t="s">
        <v>87</v>
      </c>
      <c r="C27" s="48" t="s">
        <v>20</v>
      </c>
      <c r="D27" s="48" t="s">
        <v>97</v>
      </c>
      <c r="E27" s="118" t="s">
        <v>286</v>
      </c>
      <c r="F27" s="48">
        <v>48.0</v>
      </c>
      <c r="G27" s="117" t="s">
        <v>287</v>
      </c>
      <c r="H27" s="48" t="s">
        <v>98</v>
      </c>
      <c r="I27" s="48"/>
      <c r="J27" s="40" t="s">
        <v>283</v>
      </c>
      <c r="K27" s="48" t="s">
        <v>277</v>
      </c>
      <c r="L27" s="50"/>
      <c r="M27" s="50"/>
      <c r="N27" s="50"/>
      <c r="O27" s="51"/>
    </row>
    <row r="28" hidden="1">
      <c r="A28" s="39">
        <v>26.0</v>
      </c>
      <c r="B28" s="52" t="s">
        <v>87</v>
      </c>
      <c r="C28" s="48" t="s">
        <v>20</v>
      </c>
      <c r="D28" s="48" t="s">
        <v>99</v>
      </c>
      <c r="E28" s="147" t="s">
        <v>288</v>
      </c>
      <c r="F28" s="48">
        <v>80.0</v>
      </c>
      <c r="G28" s="117" t="s">
        <v>287</v>
      </c>
      <c r="H28" s="48"/>
      <c r="I28" s="48"/>
      <c r="J28" s="40" t="s">
        <v>283</v>
      </c>
      <c r="K28" s="48" t="s">
        <v>277</v>
      </c>
      <c r="L28" s="50"/>
      <c r="M28" s="50"/>
      <c r="N28" s="50"/>
      <c r="O28" s="51"/>
    </row>
    <row r="29" hidden="1">
      <c r="A29" s="39">
        <v>27.0</v>
      </c>
      <c r="B29" s="52" t="s">
        <v>87</v>
      </c>
      <c r="C29" s="48" t="s">
        <v>20</v>
      </c>
      <c r="D29" s="48" t="s">
        <v>100</v>
      </c>
      <c r="E29" s="148" t="str">
        <f>E23</f>
        <v>Docx и Doc, текстовые документы, PDF, PPTX переносить на отдельную модель котороая может принимать документы пример: openai/gpt-5-nano</v>
      </c>
      <c r="F29" s="48">
        <v>80.0</v>
      </c>
      <c r="G29" s="117" t="s">
        <v>287</v>
      </c>
      <c r="H29" s="48"/>
      <c r="I29" s="48"/>
      <c r="J29" s="40" t="s">
        <v>283</v>
      </c>
      <c r="K29" s="48" t="s">
        <v>277</v>
      </c>
      <c r="L29" s="50"/>
      <c r="M29" s="50"/>
      <c r="N29" s="50"/>
      <c r="O29" s="53"/>
    </row>
    <row r="30" hidden="1">
      <c r="A30" s="39">
        <v>28.0</v>
      </c>
      <c r="B30" s="52" t="s">
        <v>87</v>
      </c>
      <c r="C30" s="48" t="s">
        <v>20</v>
      </c>
      <c r="D30" s="48" t="s">
        <v>101</v>
      </c>
      <c r="E30" s="118" t="s">
        <v>289</v>
      </c>
      <c r="F30" s="50"/>
      <c r="H30" s="48"/>
      <c r="I30" s="48"/>
      <c r="J30" s="40" t="s">
        <v>266</v>
      </c>
      <c r="K30" s="48" t="s">
        <v>269</v>
      </c>
      <c r="L30" s="50"/>
      <c r="M30" s="50"/>
      <c r="N30" s="50"/>
      <c r="O30" s="53"/>
    </row>
    <row r="31">
      <c r="A31" s="39">
        <v>29.0</v>
      </c>
      <c r="B31" s="52" t="s">
        <v>87</v>
      </c>
      <c r="C31" s="48" t="s">
        <v>20</v>
      </c>
      <c r="D31" s="48" t="s">
        <v>102</v>
      </c>
      <c r="E31" s="118" t="s">
        <v>290</v>
      </c>
      <c r="F31" s="48">
        <v>36.0</v>
      </c>
      <c r="H31" s="49"/>
      <c r="I31" s="49"/>
      <c r="J31" s="40" t="s">
        <v>260</v>
      </c>
      <c r="K31" s="48" t="s">
        <v>263</v>
      </c>
      <c r="L31" s="50"/>
      <c r="M31" s="50"/>
      <c r="N31" s="50"/>
      <c r="O31" s="54"/>
    </row>
    <row r="32" hidden="1">
      <c r="A32" s="39">
        <v>30.0</v>
      </c>
      <c r="B32" s="52" t="s">
        <v>87</v>
      </c>
      <c r="C32" s="48" t="s">
        <v>20</v>
      </c>
      <c r="D32" s="48" t="s">
        <v>103</v>
      </c>
      <c r="E32" s="147" t="s">
        <v>291</v>
      </c>
      <c r="F32" s="48">
        <v>24.0</v>
      </c>
      <c r="G32" s="117" t="s">
        <v>292</v>
      </c>
      <c r="H32" s="48"/>
      <c r="I32" s="48"/>
      <c r="J32" s="40" t="s">
        <v>283</v>
      </c>
      <c r="K32" s="48" t="s">
        <v>269</v>
      </c>
      <c r="L32" s="50"/>
      <c r="M32" s="50"/>
      <c r="N32" s="50"/>
      <c r="O32" s="54"/>
    </row>
    <row r="33" hidden="1">
      <c r="A33" s="39">
        <v>31.0</v>
      </c>
      <c r="B33" s="52"/>
      <c r="C33" s="48"/>
      <c r="D33" s="48"/>
      <c r="E33" s="118"/>
      <c r="F33" s="48"/>
      <c r="H33" s="48"/>
      <c r="I33" s="48"/>
      <c r="J33" s="40"/>
      <c r="K33" s="48"/>
      <c r="L33" s="50"/>
      <c r="M33" s="50"/>
      <c r="N33" s="50"/>
      <c r="O33" s="54"/>
    </row>
    <row r="34" hidden="1">
      <c r="A34" s="39">
        <v>32.0</v>
      </c>
      <c r="B34" s="52" t="s">
        <v>87</v>
      </c>
      <c r="C34" s="48" t="s">
        <v>71</v>
      </c>
      <c r="D34" s="48" t="s">
        <v>104</v>
      </c>
      <c r="E34" s="118" t="s">
        <v>293</v>
      </c>
      <c r="F34" s="48">
        <v>12.0</v>
      </c>
      <c r="H34" s="48"/>
      <c r="I34" s="48"/>
      <c r="J34" s="40" t="s">
        <v>283</v>
      </c>
      <c r="K34" s="48" t="s">
        <v>269</v>
      </c>
      <c r="L34" s="50"/>
      <c r="M34" s="50"/>
      <c r="N34" s="50"/>
      <c r="O34" s="54"/>
    </row>
    <row r="35" hidden="1">
      <c r="A35" s="39">
        <v>33.0</v>
      </c>
      <c r="B35" s="52" t="s">
        <v>87</v>
      </c>
      <c r="C35" s="48" t="s">
        <v>71</v>
      </c>
      <c r="D35" s="55" t="s">
        <v>105</v>
      </c>
      <c r="E35" s="147" t="s">
        <v>294</v>
      </c>
      <c r="F35" s="57"/>
      <c r="G35" s="117" t="s">
        <v>292</v>
      </c>
      <c r="H35" s="55"/>
      <c r="I35" s="55"/>
      <c r="J35" s="40" t="s">
        <v>266</v>
      </c>
      <c r="K35" s="48" t="s">
        <v>277</v>
      </c>
      <c r="L35" s="57"/>
      <c r="M35" s="57"/>
      <c r="N35" s="57"/>
      <c r="O35" s="58"/>
    </row>
    <row r="36" hidden="1">
      <c r="A36" s="39">
        <v>34.0</v>
      </c>
      <c r="B36" s="52" t="s">
        <v>87</v>
      </c>
      <c r="C36" s="48" t="s">
        <v>71</v>
      </c>
      <c r="D36" s="55" t="s">
        <v>106</v>
      </c>
      <c r="E36" s="3"/>
      <c r="F36" s="48">
        <v>6.0</v>
      </c>
      <c r="H36" s="48"/>
      <c r="I36" s="48"/>
      <c r="J36" s="40" t="s">
        <v>266</v>
      </c>
      <c r="K36" s="48" t="s">
        <v>277</v>
      </c>
      <c r="L36" s="50"/>
      <c r="M36" s="50"/>
      <c r="N36" s="50"/>
      <c r="O36" s="53"/>
    </row>
    <row r="37" hidden="1">
      <c r="A37" s="39">
        <v>35.0</v>
      </c>
      <c r="B37" s="52" t="s">
        <v>87</v>
      </c>
      <c r="C37" s="48" t="s">
        <v>71</v>
      </c>
      <c r="D37" s="55" t="s">
        <v>107</v>
      </c>
      <c r="E37" s="147" t="s">
        <v>295</v>
      </c>
      <c r="F37" s="48">
        <v>24.0</v>
      </c>
      <c r="H37" s="48"/>
      <c r="I37" s="48"/>
      <c r="J37" s="40" t="s">
        <v>266</v>
      </c>
      <c r="K37" s="48" t="s">
        <v>269</v>
      </c>
      <c r="L37" s="50"/>
      <c r="M37" s="50"/>
      <c r="N37" s="50"/>
      <c r="O37" s="53"/>
    </row>
    <row r="38">
      <c r="A38" s="39">
        <v>36.0</v>
      </c>
      <c r="B38" s="52" t="s">
        <v>87</v>
      </c>
      <c r="C38" s="48" t="s">
        <v>71</v>
      </c>
      <c r="D38" s="55" t="s">
        <v>108</v>
      </c>
      <c r="E38" s="149" t="s">
        <v>296</v>
      </c>
      <c r="F38" s="50"/>
      <c r="H38" s="48"/>
      <c r="I38" s="48"/>
      <c r="J38" s="40" t="s">
        <v>260</v>
      </c>
      <c r="K38" s="48" t="s">
        <v>269</v>
      </c>
      <c r="L38" s="50"/>
      <c r="M38" s="50"/>
      <c r="N38" s="50"/>
      <c r="O38" s="53"/>
    </row>
    <row r="39">
      <c r="A39" s="39">
        <v>37.0</v>
      </c>
      <c r="B39" s="52" t="s">
        <v>87</v>
      </c>
      <c r="C39" s="55" t="s">
        <v>109</v>
      </c>
      <c r="D39" s="55" t="s">
        <v>110</v>
      </c>
      <c r="E39" s="3"/>
      <c r="F39" s="48">
        <v>2.0</v>
      </c>
      <c r="H39" s="48"/>
      <c r="I39" s="48"/>
      <c r="J39" s="40" t="s">
        <v>260</v>
      </c>
      <c r="K39" s="48" t="s">
        <v>261</v>
      </c>
      <c r="L39" s="50"/>
      <c r="M39" s="50"/>
      <c r="N39" s="50"/>
      <c r="O39" s="53"/>
    </row>
    <row r="40">
      <c r="A40" s="39">
        <v>38.0</v>
      </c>
      <c r="B40" s="52" t="s">
        <v>87</v>
      </c>
      <c r="C40" s="55" t="s">
        <v>109</v>
      </c>
      <c r="D40" s="48" t="s">
        <v>111</v>
      </c>
      <c r="E40" s="147" t="s">
        <v>297</v>
      </c>
      <c r="F40" s="50"/>
      <c r="H40" s="48"/>
      <c r="I40" s="48"/>
      <c r="J40" s="40" t="s">
        <v>260</v>
      </c>
      <c r="K40" s="48" t="s">
        <v>269</v>
      </c>
      <c r="L40" s="50"/>
      <c r="M40" s="50"/>
      <c r="N40" s="50"/>
      <c r="O40" s="53"/>
    </row>
    <row r="41">
      <c r="A41" s="39">
        <v>39.0</v>
      </c>
      <c r="B41" s="52" t="s">
        <v>87</v>
      </c>
      <c r="C41" s="55" t="s">
        <v>109</v>
      </c>
      <c r="D41" s="48" t="s">
        <v>112</v>
      </c>
      <c r="E41" s="118" t="s">
        <v>298</v>
      </c>
      <c r="F41" s="48">
        <v>30.0</v>
      </c>
      <c r="H41" s="48"/>
      <c r="I41" s="48"/>
      <c r="J41" s="40" t="s">
        <v>260</v>
      </c>
      <c r="K41" s="48" t="s">
        <v>261</v>
      </c>
      <c r="L41" s="50"/>
      <c r="M41" s="50"/>
      <c r="N41" s="50"/>
      <c r="O41" s="53"/>
    </row>
    <row r="42">
      <c r="A42" s="39">
        <v>40.0</v>
      </c>
      <c r="B42" s="52" t="s">
        <v>87</v>
      </c>
      <c r="C42" s="55" t="s">
        <v>109</v>
      </c>
      <c r="D42" s="48" t="s">
        <v>113</v>
      </c>
      <c r="E42" s="118"/>
      <c r="F42" s="48">
        <v>8.0</v>
      </c>
      <c r="H42" s="48"/>
      <c r="I42" s="48"/>
      <c r="J42" s="40" t="s">
        <v>260</v>
      </c>
      <c r="K42" s="48" t="s">
        <v>261</v>
      </c>
      <c r="L42" s="50"/>
      <c r="M42" s="50"/>
      <c r="N42" s="50"/>
      <c r="O42" s="53"/>
    </row>
    <row r="43">
      <c r="A43" s="39">
        <v>41.0</v>
      </c>
      <c r="B43" s="60" t="s">
        <v>114</v>
      </c>
      <c r="C43" s="61" t="s">
        <v>88</v>
      </c>
      <c r="D43" s="150" t="s">
        <v>115</v>
      </c>
      <c r="E43" s="3"/>
      <c r="F43" s="151">
        <v>4.0</v>
      </c>
      <c r="H43" s="62"/>
      <c r="I43" s="62"/>
      <c r="J43" s="40" t="s">
        <v>260</v>
      </c>
      <c r="K43" s="48" t="s">
        <v>269</v>
      </c>
      <c r="L43" s="64"/>
      <c r="M43" s="64"/>
      <c r="N43" s="64"/>
      <c r="O43" s="65"/>
    </row>
    <row r="44">
      <c r="A44" s="39">
        <v>42.0</v>
      </c>
      <c r="B44" s="60" t="s">
        <v>114</v>
      </c>
      <c r="C44" s="61" t="s">
        <v>88</v>
      </c>
      <c r="D44" s="150" t="s">
        <v>116</v>
      </c>
      <c r="E44" s="118" t="s">
        <v>299</v>
      </c>
      <c r="H44" s="62"/>
      <c r="I44" s="62"/>
      <c r="J44" s="40" t="s">
        <v>260</v>
      </c>
      <c r="K44" s="48" t="s">
        <v>269</v>
      </c>
      <c r="L44" s="64"/>
      <c r="M44" s="64"/>
      <c r="N44" s="64"/>
      <c r="O44" s="65"/>
    </row>
    <row r="45">
      <c r="A45" s="39">
        <v>43.0</v>
      </c>
      <c r="B45" s="60" t="s">
        <v>114</v>
      </c>
      <c r="C45" s="61" t="s">
        <v>88</v>
      </c>
      <c r="D45" s="150" t="s">
        <v>117</v>
      </c>
      <c r="E45" s="3"/>
      <c r="H45" s="62"/>
      <c r="I45" s="62"/>
      <c r="J45" s="40" t="s">
        <v>260</v>
      </c>
      <c r="K45" s="48" t="s">
        <v>269</v>
      </c>
      <c r="L45" s="64"/>
      <c r="M45" s="64"/>
      <c r="N45" s="64"/>
      <c r="O45" s="65"/>
    </row>
    <row r="46">
      <c r="A46" s="39">
        <v>44.0</v>
      </c>
      <c r="B46" s="60" t="s">
        <v>118</v>
      </c>
      <c r="C46" s="61" t="s">
        <v>88</v>
      </c>
      <c r="D46" s="150" t="s">
        <v>119</v>
      </c>
      <c r="E46" s="3"/>
      <c r="H46" s="61"/>
      <c r="I46" s="61"/>
      <c r="J46" s="40" t="s">
        <v>260</v>
      </c>
      <c r="K46" s="48" t="s">
        <v>269</v>
      </c>
      <c r="L46" s="67"/>
      <c r="M46" s="67"/>
      <c r="N46" s="67"/>
      <c r="O46" s="68"/>
    </row>
    <row r="47" hidden="1">
      <c r="A47" s="39">
        <v>45.0</v>
      </c>
      <c r="B47" s="60" t="s">
        <v>118</v>
      </c>
      <c r="C47" s="62" t="s">
        <v>20</v>
      </c>
      <c r="D47" s="62" t="s">
        <v>120</v>
      </c>
      <c r="E47" s="118" t="s">
        <v>300</v>
      </c>
      <c r="F47" s="61">
        <v>24.0</v>
      </c>
      <c r="H47" s="62"/>
      <c r="I47" s="61"/>
      <c r="J47" s="40" t="s">
        <v>280</v>
      </c>
      <c r="K47" s="48" t="s">
        <v>269</v>
      </c>
      <c r="L47" s="67"/>
      <c r="M47" s="67"/>
      <c r="N47" s="67"/>
      <c r="O47" s="68"/>
    </row>
    <row r="48" hidden="1">
      <c r="A48" s="39">
        <v>46.0</v>
      </c>
      <c r="B48" s="60" t="s">
        <v>118</v>
      </c>
      <c r="C48" s="62" t="s">
        <v>20</v>
      </c>
      <c r="D48" s="62" t="s">
        <v>121</v>
      </c>
      <c r="E48" s="149" t="s">
        <v>301</v>
      </c>
      <c r="F48" s="67"/>
      <c r="H48" s="62"/>
      <c r="I48" s="61"/>
      <c r="J48" s="40" t="s">
        <v>266</v>
      </c>
      <c r="K48" s="48" t="s">
        <v>263</v>
      </c>
      <c r="L48" s="67"/>
      <c r="M48" s="67"/>
      <c r="N48" s="67"/>
      <c r="O48" s="68"/>
    </row>
    <row r="49">
      <c r="A49" s="39">
        <v>47.0</v>
      </c>
      <c r="B49" s="70" t="s">
        <v>118</v>
      </c>
      <c r="C49" s="62" t="s">
        <v>20</v>
      </c>
      <c r="D49" s="62" t="s">
        <v>302</v>
      </c>
      <c r="F49" s="67"/>
      <c r="H49" s="62"/>
      <c r="I49" s="61"/>
      <c r="J49" s="40" t="s">
        <v>260</v>
      </c>
      <c r="K49" s="48" t="s">
        <v>303</v>
      </c>
      <c r="L49" s="67"/>
      <c r="M49" s="67"/>
      <c r="N49" s="67"/>
      <c r="O49" s="68"/>
    </row>
    <row r="50" hidden="1">
      <c r="A50" s="39">
        <v>48.0</v>
      </c>
      <c r="B50" s="70" t="s">
        <v>118</v>
      </c>
      <c r="C50" s="62" t="s">
        <v>20</v>
      </c>
      <c r="D50" s="62" t="s">
        <v>304</v>
      </c>
      <c r="F50" s="67"/>
      <c r="H50" s="62"/>
      <c r="I50" s="61"/>
      <c r="J50" s="40" t="s">
        <v>266</v>
      </c>
      <c r="K50" s="48" t="s">
        <v>263</v>
      </c>
      <c r="L50" s="67"/>
      <c r="M50" s="67"/>
      <c r="N50" s="67"/>
      <c r="O50" s="68"/>
    </row>
    <row r="51">
      <c r="A51" s="39">
        <v>49.0</v>
      </c>
      <c r="B51" s="70" t="s">
        <v>118</v>
      </c>
      <c r="C51" s="62" t="s">
        <v>20</v>
      </c>
      <c r="D51" s="62" t="s">
        <v>305</v>
      </c>
      <c r="F51" s="67"/>
      <c r="H51" s="62"/>
      <c r="I51" s="61"/>
      <c r="J51" s="40" t="s">
        <v>260</v>
      </c>
      <c r="K51" s="48" t="s">
        <v>263</v>
      </c>
      <c r="L51" s="67"/>
      <c r="M51" s="67"/>
      <c r="N51" s="67"/>
      <c r="O51" s="68"/>
    </row>
    <row r="52" hidden="1">
      <c r="A52" s="39">
        <v>50.0</v>
      </c>
      <c r="B52" s="70" t="s">
        <v>118</v>
      </c>
      <c r="C52" s="62" t="s">
        <v>20</v>
      </c>
      <c r="D52" s="62" t="s">
        <v>125</v>
      </c>
      <c r="F52" s="67"/>
      <c r="H52" s="62"/>
      <c r="I52" s="61"/>
      <c r="J52" s="40" t="s">
        <v>266</v>
      </c>
      <c r="K52" s="48" t="s">
        <v>263</v>
      </c>
      <c r="L52" s="67"/>
      <c r="M52" s="67"/>
      <c r="N52" s="67"/>
      <c r="O52" s="68"/>
    </row>
    <row r="53" hidden="1">
      <c r="A53" s="39">
        <v>51.0</v>
      </c>
      <c r="B53" s="70" t="s">
        <v>118</v>
      </c>
      <c r="C53" s="62" t="s">
        <v>20</v>
      </c>
      <c r="D53" s="62" t="s">
        <v>126</v>
      </c>
      <c r="F53" s="67"/>
      <c r="H53" s="62"/>
      <c r="I53" s="61"/>
      <c r="J53" s="40" t="s">
        <v>283</v>
      </c>
      <c r="K53" s="48" t="s">
        <v>263</v>
      </c>
      <c r="L53" s="67"/>
      <c r="M53" s="67"/>
      <c r="N53" s="67"/>
      <c r="O53" s="68"/>
    </row>
    <row r="54" hidden="1">
      <c r="A54" s="39">
        <v>52.0</v>
      </c>
      <c r="B54" s="70" t="s">
        <v>118</v>
      </c>
      <c r="C54" s="62" t="s">
        <v>20</v>
      </c>
      <c r="D54" s="62" t="s">
        <v>127</v>
      </c>
      <c r="F54" s="67"/>
      <c r="H54" s="62"/>
      <c r="I54" s="61"/>
      <c r="J54" s="40" t="s">
        <v>283</v>
      </c>
      <c r="K54" s="48" t="s">
        <v>263</v>
      </c>
      <c r="L54" s="67"/>
      <c r="M54" s="67"/>
      <c r="N54" s="67"/>
      <c r="O54" s="68"/>
    </row>
    <row r="55" hidden="1">
      <c r="A55" s="39">
        <v>53.0</v>
      </c>
      <c r="B55" s="70" t="s">
        <v>118</v>
      </c>
      <c r="C55" s="62" t="s">
        <v>20</v>
      </c>
      <c r="D55" s="62" t="s">
        <v>128</v>
      </c>
      <c r="F55" s="67"/>
      <c r="H55" s="62"/>
      <c r="I55" s="61"/>
      <c r="J55" s="40" t="s">
        <v>306</v>
      </c>
      <c r="K55" s="48" t="s">
        <v>263</v>
      </c>
      <c r="L55" s="67"/>
      <c r="M55" s="67"/>
      <c r="N55" s="67"/>
      <c r="O55" s="68"/>
    </row>
    <row r="56">
      <c r="A56" s="39">
        <v>54.0</v>
      </c>
      <c r="B56" s="70" t="s">
        <v>118</v>
      </c>
      <c r="C56" s="62" t="s">
        <v>20</v>
      </c>
      <c r="D56" s="62" t="s">
        <v>129</v>
      </c>
      <c r="E56" s="3"/>
      <c r="F56" s="61">
        <v>8.0</v>
      </c>
      <c r="H56" s="62"/>
      <c r="I56" s="61"/>
      <c r="J56" s="40" t="s">
        <v>260</v>
      </c>
      <c r="K56" s="48" t="s">
        <v>277</v>
      </c>
      <c r="L56" s="67"/>
      <c r="M56" s="67"/>
      <c r="N56" s="67"/>
      <c r="O56" s="68"/>
    </row>
    <row r="57">
      <c r="A57" s="39">
        <v>55.0</v>
      </c>
      <c r="B57" s="70" t="s">
        <v>118</v>
      </c>
      <c r="C57" s="62" t="s">
        <v>20</v>
      </c>
      <c r="D57" s="62" t="s">
        <v>307</v>
      </c>
      <c r="E57" s="118" t="s">
        <v>308</v>
      </c>
      <c r="F57" s="61">
        <v>32.0</v>
      </c>
      <c r="H57" s="62"/>
      <c r="I57" s="61"/>
      <c r="J57" s="40" t="s">
        <v>260</v>
      </c>
      <c r="K57" s="48" t="s">
        <v>269</v>
      </c>
      <c r="L57" s="67"/>
      <c r="M57" s="67"/>
      <c r="N57" s="67"/>
      <c r="O57" s="68"/>
    </row>
    <row r="58" hidden="1">
      <c r="A58" s="39"/>
      <c r="B58" s="70" t="s">
        <v>118</v>
      </c>
      <c r="C58" s="62" t="s">
        <v>20</v>
      </c>
      <c r="D58" s="62" t="s">
        <v>309</v>
      </c>
      <c r="E58" s="118"/>
      <c r="F58" s="61"/>
      <c r="H58" s="62"/>
      <c r="I58" s="61"/>
      <c r="J58" s="40" t="s">
        <v>266</v>
      </c>
      <c r="K58" s="48"/>
      <c r="L58" s="67"/>
      <c r="M58" s="67"/>
      <c r="N58" s="67"/>
      <c r="O58" s="68"/>
    </row>
    <row r="59" hidden="1">
      <c r="A59" s="39"/>
      <c r="B59" s="70" t="s">
        <v>118</v>
      </c>
      <c r="C59" s="62" t="s">
        <v>20</v>
      </c>
      <c r="D59" s="62" t="s">
        <v>310</v>
      </c>
      <c r="E59" s="118"/>
      <c r="F59" s="61"/>
      <c r="H59" s="62"/>
      <c r="I59" s="61"/>
      <c r="J59" s="40" t="s">
        <v>266</v>
      </c>
      <c r="K59" s="48"/>
      <c r="L59" s="67"/>
      <c r="M59" s="67"/>
      <c r="N59" s="67"/>
      <c r="O59" s="68"/>
    </row>
    <row r="60">
      <c r="A60" s="39">
        <v>56.0</v>
      </c>
      <c r="B60" s="70" t="s">
        <v>118</v>
      </c>
      <c r="C60" s="62" t="s">
        <v>20</v>
      </c>
      <c r="D60" s="62" t="s">
        <v>311</v>
      </c>
      <c r="E60" s="118" t="s">
        <v>312</v>
      </c>
      <c r="F60" s="61">
        <v>36.0</v>
      </c>
      <c r="H60" s="62" t="s">
        <v>132</v>
      </c>
      <c r="I60" s="61" t="s">
        <v>313</v>
      </c>
      <c r="J60" s="40" t="s">
        <v>260</v>
      </c>
      <c r="K60" s="48" t="s">
        <v>277</v>
      </c>
      <c r="L60" s="67"/>
      <c r="M60" s="67"/>
      <c r="N60" s="67"/>
      <c r="O60" s="68"/>
    </row>
    <row r="61">
      <c r="A61" s="39"/>
      <c r="B61" s="70" t="s">
        <v>118</v>
      </c>
      <c r="C61" s="62" t="s">
        <v>20</v>
      </c>
      <c r="D61" s="62" t="s">
        <v>314</v>
      </c>
      <c r="E61" s="118"/>
      <c r="F61" s="67"/>
      <c r="H61" s="62"/>
      <c r="I61" s="61"/>
      <c r="J61" s="40" t="s">
        <v>260</v>
      </c>
      <c r="K61" s="48"/>
      <c r="L61" s="67"/>
      <c r="M61" s="67"/>
      <c r="N61" s="67"/>
      <c r="O61" s="68"/>
    </row>
    <row r="62">
      <c r="A62" s="39"/>
      <c r="B62" s="70" t="s">
        <v>118</v>
      </c>
      <c r="C62" s="62" t="s">
        <v>71</v>
      </c>
      <c r="D62" s="62" t="s">
        <v>315</v>
      </c>
      <c r="E62" s="118"/>
      <c r="F62" s="67"/>
      <c r="H62" s="62"/>
      <c r="I62" s="61"/>
      <c r="J62" s="40" t="s">
        <v>260</v>
      </c>
      <c r="K62" s="48"/>
      <c r="L62" s="67"/>
      <c r="M62" s="67"/>
      <c r="N62" s="67"/>
      <c r="O62" s="68"/>
    </row>
    <row r="63" hidden="1">
      <c r="A63" s="39">
        <v>57.0</v>
      </c>
      <c r="B63" s="70" t="s">
        <v>118</v>
      </c>
      <c r="C63" s="62" t="s">
        <v>20</v>
      </c>
      <c r="D63" s="152" t="s">
        <v>133</v>
      </c>
      <c r="E63" s="118" t="s">
        <v>316</v>
      </c>
      <c r="F63" s="67"/>
      <c r="H63" s="62"/>
      <c r="I63" s="61"/>
      <c r="J63" s="40" t="s">
        <v>266</v>
      </c>
      <c r="K63" s="48" t="s">
        <v>269</v>
      </c>
      <c r="L63" s="67"/>
      <c r="M63" s="67"/>
      <c r="N63" s="67"/>
      <c r="O63" s="68"/>
    </row>
    <row r="64" hidden="1">
      <c r="A64" s="39">
        <v>58.0</v>
      </c>
      <c r="B64" s="70" t="s">
        <v>118</v>
      </c>
      <c r="C64" s="62" t="s">
        <v>20</v>
      </c>
      <c r="D64" s="62" t="s">
        <v>134</v>
      </c>
      <c r="E64" s="118"/>
      <c r="F64" s="61">
        <v>16.0</v>
      </c>
      <c r="H64" s="62"/>
      <c r="I64" s="61"/>
      <c r="J64" s="40" t="s">
        <v>280</v>
      </c>
      <c r="K64" s="48" t="s">
        <v>269</v>
      </c>
      <c r="L64" s="67"/>
      <c r="M64" s="67"/>
      <c r="N64" s="67"/>
      <c r="O64" s="68"/>
    </row>
    <row r="65">
      <c r="A65" s="39">
        <v>59.0</v>
      </c>
      <c r="B65" s="70" t="s">
        <v>118</v>
      </c>
      <c r="C65" s="62" t="s">
        <v>20</v>
      </c>
      <c r="D65" s="62" t="s">
        <v>135</v>
      </c>
      <c r="E65" s="118"/>
      <c r="F65" s="61">
        <v>16.0</v>
      </c>
      <c r="H65" s="62"/>
      <c r="I65" s="61"/>
      <c r="J65" s="40" t="s">
        <v>260</v>
      </c>
      <c r="K65" s="48" t="s">
        <v>269</v>
      </c>
      <c r="L65" s="67"/>
      <c r="M65" s="67"/>
      <c r="N65" s="67"/>
      <c r="O65" s="68"/>
    </row>
    <row r="66" hidden="1">
      <c r="A66" s="39">
        <v>60.0</v>
      </c>
      <c r="B66" s="70" t="s">
        <v>118</v>
      </c>
      <c r="C66" s="62" t="s">
        <v>20</v>
      </c>
      <c r="D66" s="62" t="s">
        <v>136</v>
      </c>
      <c r="E66" s="147" t="s">
        <v>317</v>
      </c>
      <c r="F66" s="61">
        <v>8.0</v>
      </c>
      <c r="H66" s="62"/>
      <c r="I66" s="61"/>
      <c r="J66" s="40" t="s">
        <v>283</v>
      </c>
      <c r="K66" s="48" t="s">
        <v>269</v>
      </c>
      <c r="L66" s="67"/>
      <c r="M66" s="67"/>
      <c r="N66" s="67"/>
      <c r="O66" s="68"/>
    </row>
    <row r="67">
      <c r="A67" s="39">
        <v>61.0</v>
      </c>
      <c r="B67" s="70" t="s">
        <v>118</v>
      </c>
      <c r="C67" s="62" t="s">
        <v>20</v>
      </c>
      <c r="D67" s="62" t="s">
        <v>137</v>
      </c>
      <c r="E67" s="118"/>
      <c r="F67" s="61">
        <v>4.0</v>
      </c>
      <c r="H67" s="62"/>
      <c r="I67" s="61"/>
      <c r="J67" s="40" t="s">
        <v>260</v>
      </c>
      <c r="K67" s="48" t="s">
        <v>269</v>
      </c>
      <c r="L67" s="67"/>
      <c r="M67" s="67"/>
      <c r="N67" s="67"/>
      <c r="O67" s="68"/>
    </row>
    <row r="68" hidden="1">
      <c r="A68" s="39">
        <v>62.0</v>
      </c>
      <c r="B68" s="70" t="s">
        <v>118</v>
      </c>
      <c r="C68" s="62" t="s">
        <v>71</v>
      </c>
      <c r="D68" s="62" t="s">
        <v>138</v>
      </c>
      <c r="E68" s="3"/>
      <c r="F68" s="64"/>
      <c r="H68" s="62"/>
      <c r="I68" s="62"/>
      <c r="J68" s="40" t="s">
        <v>266</v>
      </c>
      <c r="K68" s="48" t="s">
        <v>269</v>
      </c>
      <c r="L68" s="64"/>
      <c r="M68" s="64"/>
      <c r="N68" s="64"/>
      <c r="O68" s="65"/>
    </row>
    <row r="69">
      <c r="A69" s="39">
        <v>63.0</v>
      </c>
      <c r="B69" s="70" t="s">
        <v>118</v>
      </c>
      <c r="C69" s="62" t="s">
        <v>71</v>
      </c>
      <c r="D69" s="62" t="s">
        <v>139</v>
      </c>
      <c r="E69" s="3"/>
      <c r="F69" s="64"/>
      <c r="H69" s="62"/>
      <c r="I69" s="62"/>
      <c r="J69" s="40" t="s">
        <v>260</v>
      </c>
      <c r="K69" s="48" t="s">
        <v>261</v>
      </c>
      <c r="L69" s="64"/>
      <c r="M69" s="64"/>
      <c r="N69" s="64"/>
      <c r="O69" s="65"/>
    </row>
    <row r="70" hidden="1">
      <c r="A70" s="39"/>
      <c r="B70" s="70" t="s">
        <v>118</v>
      </c>
      <c r="C70" s="62" t="s">
        <v>20</v>
      </c>
      <c r="D70" s="62" t="s">
        <v>318</v>
      </c>
      <c r="E70" s="3"/>
      <c r="F70" s="62"/>
      <c r="H70" s="62"/>
      <c r="I70" s="62"/>
      <c r="J70" s="40" t="s">
        <v>266</v>
      </c>
      <c r="K70" s="48"/>
      <c r="L70" s="64"/>
      <c r="M70" s="64"/>
      <c r="N70" s="64"/>
      <c r="O70" s="65"/>
    </row>
    <row r="71" hidden="1">
      <c r="A71" s="39">
        <v>64.0</v>
      </c>
      <c r="B71" s="70" t="s">
        <v>118</v>
      </c>
      <c r="C71" s="62" t="s">
        <v>140</v>
      </c>
      <c r="D71" s="62" t="s">
        <v>141</v>
      </c>
      <c r="E71" s="3"/>
      <c r="F71" s="62">
        <v>40.0</v>
      </c>
      <c r="H71" s="62"/>
      <c r="I71" s="62"/>
      <c r="J71" s="40" t="s">
        <v>266</v>
      </c>
      <c r="K71" s="48" t="s">
        <v>277</v>
      </c>
      <c r="L71" s="64"/>
      <c r="M71" s="64"/>
      <c r="N71" s="64"/>
      <c r="O71" s="65"/>
    </row>
    <row r="72">
      <c r="A72" s="39">
        <v>65.0</v>
      </c>
      <c r="B72" s="70" t="s">
        <v>118</v>
      </c>
      <c r="C72" s="62" t="s">
        <v>140</v>
      </c>
      <c r="D72" s="62" t="s">
        <v>142</v>
      </c>
      <c r="E72" s="3"/>
      <c r="F72" s="117">
        <v>16.0</v>
      </c>
      <c r="H72" s="62"/>
      <c r="I72" s="62"/>
      <c r="J72" s="40" t="s">
        <v>260</v>
      </c>
      <c r="K72" s="48" t="s">
        <v>277</v>
      </c>
      <c r="L72" s="64"/>
      <c r="M72" s="64"/>
      <c r="N72" s="64"/>
      <c r="O72" s="65"/>
    </row>
    <row r="73" hidden="1">
      <c r="A73" s="39">
        <v>66.0</v>
      </c>
      <c r="B73" s="70" t="s">
        <v>118</v>
      </c>
      <c r="C73" s="62" t="s">
        <v>20</v>
      </c>
      <c r="D73" s="62" t="s">
        <v>143</v>
      </c>
      <c r="E73" s="118" t="s">
        <v>319</v>
      </c>
      <c r="F73" s="62">
        <v>16.0</v>
      </c>
      <c r="H73" s="62"/>
      <c r="I73" s="62"/>
      <c r="J73" s="40" t="s">
        <v>283</v>
      </c>
      <c r="K73" s="48" t="s">
        <v>277</v>
      </c>
      <c r="L73" s="64"/>
      <c r="M73" s="64"/>
      <c r="N73" s="64"/>
      <c r="O73" s="65"/>
    </row>
    <row r="74">
      <c r="A74" s="39">
        <v>67.0</v>
      </c>
      <c r="B74" s="70" t="s">
        <v>118</v>
      </c>
      <c r="C74" s="62" t="s">
        <v>140</v>
      </c>
      <c r="D74" s="62" t="s">
        <v>144</v>
      </c>
      <c r="E74" s="3"/>
      <c r="F74" s="62">
        <v>16.0</v>
      </c>
      <c r="H74" s="62"/>
      <c r="I74" s="62"/>
      <c r="J74" s="40" t="s">
        <v>260</v>
      </c>
      <c r="K74" s="48" t="s">
        <v>261</v>
      </c>
      <c r="L74" s="64"/>
      <c r="M74" s="64"/>
      <c r="N74" s="64"/>
      <c r="O74" s="65"/>
    </row>
    <row r="75" hidden="1">
      <c r="A75" s="39"/>
      <c r="B75" s="70"/>
      <c r="C75" s="62"/>
      <c r="D75" s="62"/>
      <c r="E75" s="3"/>
      <c r="F75" s="62"/>
      <c r="H75" s="62"/>
      <c r="I75" s="62"/>
      <c r="J75" s="40"/>
      <c r="K75" s="48"/>
      <c r="L75" s="64"/>
      <c r="M75" s="64"/>
      <c r="N75" s="64"/>
      <c r="O75" s="65"/>
    </row>
    <row r="76">
      <c r="A76" s="39">
        <v>69.0</v>
      </c>
      <c r="B76" s="70" t="s">
        <v>118</v>
      </c>
      <c r="C76" s="62" t="s">
        <v>20</v>
      </c>
      <c r="D76" s="62" t="s">
        <v>146</v>
      </c>
      <c r="E76" s="3"/>
      <c r="F76" s="62">
        <v>8.0</v>
      </c>
      <c r="H76" s="62"/>
      <c r="I76" s="62"/>
      <c r="J76" s="40" t="s">
        <v>260</v>
      </c>
      <c r="K76" s="48" t="s">
        <v>303</v>
      </c>
      <c r="L76" s="64"/>
      <c r="M76" s="64"/>
      <c r="N76" s="64"/>
      <c r="O76" s="65"/>
    </row>
    <row r="77" hidden="1">
      <c r="A77" s="39">
        <v>70.0</v>
      </c>
      <c r="B77" s="70" t="s">
        <v>118</v>
      </c>
      <c r="C77" s="62" t="s">
        <v>20</v>
      </c>
      <c r="D77" s="62" t="s">
        <v>147</v>
      </c>
      <c r="E77" s="3"/>
      <c r="F77" s="62">
        <v>32.0</v>
      </c>
      <c r="H77" s="62"/>
      <c r="I77" s="62"/>
      <c r="J77" s="40" t="s">
        <v>266</v>
      </c>
      <c r="K77" s="48" t="s">
        <v>263</v>
      </c>
      <c r="L77" s="64"/>
      <c r="M77" s="64"/>
      <c r="N77" s="64"/>
      <c r="O77" s="65"/>
    </row>
    <row r="78">
      <c r="A78" s="39">
        <v>71.0</v>
      </c>
      <c r="B78" s="70" t="s">
        <v>118</v>
      </c>
      <c r="C78" s="62" t="s">
        <v>20</v>
      </c>
      <c r="D78" s="62" t="s">
        <v>148</v>
      </c>
      <c r="E78" s="3"/>
      <c r="F78" s="62">
        <v>16.0</v>
      </c>
      <c r="H78" s="62"/>
      <c r="I78" s="62"/>
      <c r="J78" s="40" t="s">
        <v>260</v>
      </c>
      <c r="K78" s="48" t="s">
        <v>263</v>
      </c>
      <c r="L78" s="64"/>
      <c r="M78" s="64"/>
      <c r="N78" s="64"/>
      <c r="O78" s="65"/>
    </row>
    <row r="79" hidden="1">
      <c r="A79" s="39">
        <v>72.0</v>
      </c>
      <c r="B79" s="70" t="s">
        <v>118</v>
      </c>
      <c r="C79" s="62" t="s">
        <v>20</v>
      </c>
      <c r="D79" s="62" t="s">
        <v>149</v>
      </c>
      <c r="E79" s="3"/>
      <c r="F79" s="62">
        <v>40.0</v>
      </c>
      <c r="H79" s="62"/>
      <c r="I79" s="62"/>
      <c r="J79" s="40" t="s">
        <v>266</v>
      </c>
      <c r="K79" s="48" t="s">
        <v>263</v>
      </c>
      <c r="L79" s="64"/>
      <c r="M79" s="64"/>
      <c r="N79" s="64"/>
      <c r="O79" s="65"/>
    </row>
    <row r="80" hidden="1">
      <c r="A80" s="39">
        <v>73.0</v>
      </c>
      <c r="B80" s="70" t="s">
        <v>118</v>
      </c>
      <c r="C80" s="62" t="s">
        <v>20</v>
      </c>
      <c r="D80" s="62" t="s">
        <v>150</v>
      </c>
      <c r="E80" s="3"/>
      <c r="F80" s="62">
        <v>32.0</v>
      </c>
      <c r="H80" s="62"/>
      <c r="I80" s="62"/>
      <c r="J80" s="40" t="s">
        <v>283</v>
      </c>
      <c r="K80" s="48" t="s">
        <v>263</v>
      </c>
      <c r="L80" s="64"/>
      <c r="M80" s="64"/>
      <c r="N80" s="64"/>
      <c r="O80" s="65"/>
    </row>
    <row r="81" hidden="1">
      <c r="A81" s="39">
        <v>74.0</v>
      </c>
      <c r="B81" s="70" t="s">
        <v>118</v>
      </c>
      <c r="C81" s="62" t="s">
        <v>20</v>
      </c>
      <c r="D81" s="62" t="s">
        <v>151</v>
      </c>
      <c r="E81" s="3"/>
      <c r="F81" s="62">
        <v>40.0</v>
      </c>
      <c r="H81" s="62"/>
      <c r="I81" s="62"/>
      <c r="J81" s="40" t="s">
        <v>283</v>
      </c>
      <c r="K81" s="48" t="s">
        <v>263</v>
      </c>
      <c r="L81" s="64"/>
      <c r="M81" s="64"/>
      <c r="N81" s="64"/>
      <c r="O81" s="65"/>
    </row>
    <row r="82">
      <c r="A82" s="39">
        <v>75.0</v>
      </c>
      <c r="B82" s="70" t="s">
        <v>118</v>
      </c>
      <c r="C82" s="62" t="s">
        <v>71</v>
      </c>
      <c r="D82" s="62" t="s">
        <v>152</v>
      </c>
      <c r="E82" s="3"/>
      <c r="F82" s="62">
        <v>8.0</v>
      </c>
      <c r="H82" s="62"/>
      <c r="I82" s="62"/>
      <c r="J82" s="40" t="s">
        <v>260</v>
      </c>
      <c r="K82" s="48" t="s">
        <v>269</v>
      </c>
      <c r="L82" s="64"/>
      <c r="M82" s="64"/>
      <c r="N82" s="64"/>
      <c r="O82" s="65"/>
    </row>
    <row r="83">
      <c r="A83" s="39">
        <v>76.0</v>
      </c>
      <c r="B83" s="70" t="s">
        <v>118</v>
      </c>
      <c r="C83" s="62" t="s">
        <v>71</v>
      </c>
      <c r="D83" s="71" t="s">
        <v>153</v>
      </c>
      <c r="E83" s="3"/>
      <c r="F83" s="64"/>
      <c r="H83" s="62"/>
      <c r="I83" s="62"/>
      <c r="J83" s="40" t="s">
        <v>260</v>
      </c>
      <c r="K83" s="48" t="s">
        <v>269</v>
      </c>
      <c r="L83" s="64"/>
      <c r="M83" s="64"/>
      <c r="N83" s="64"/>
      <c r="O83" s="65"/>
    </row>
    <row r="84">
      <c r="A84" s="39">
        <v>77.0</v>
      </c>
      <c r="B84" s="70" t="s">
        <v>118</v>
      </c>
      <c r="C84" s="62" t="s">
        <v>20</v>
      </c>
      <c r="D84" s="62" t="s">
        <v>154</v>
      </c>
      <c r="E84" s="3"/>
      <c r="F84" s="62">
        <v>16.0</v>
      </c>
      <c r="H84" s="62"/>
      <c r="I84" s="62"/>
      <c r="J84" s="40" t="s">
        <v>260</v>
      </c>
      <c r="K84" s="48" t="s">
        <v>269</v>
      </c>
      <c r="L84" s="64"/>
      <c r="M84" s="64"/>
      <c r="N84" s="64"/>
      <c r="O84" s="65"/>
    </row>
    <row r="85">
      <c r="A85" s="39">
        <v>78.0</v>
      </c>
      <c r="B85" s="70" t="s">
        <v>118</v>
      </c>
      <c r="C85" s="62" t="s">
        <v>71</v>
      </c>
      <c r="D85" s="62" t="s">
        <v>155</v>
      </c>
      <c r="E85" s="3"/>
      <c r="H85" s="62"/>
      <c r="I85" s="62"/>
      <c r="J85" s="40" t="s">
        <v>260</v>
      </c>
      <c r="K85" s="48" t="s">
        <v>269</v>
      </c>
      <c r="L85" s="64"/>
      <c r="M85" s="64"/>
      <c r="N85" s="64"/>
      <c r="O85" s="65"/>
    </row>
    <row r="86">
      <c r="A86" s="39">
        <v>79.0</v>
      </c>
      <c r="B86" s="70" t="s">
        <v>118</v>
      </c>
      <c r="C86" s="62" t="s">
        <v>71</v>
      </c>
      <c r="D86" s="62" t="s">
        <v>156</v>
      </c>
      <c r="E86" s="3"/>
      <c r="F86" s="62">
        <v>4.0</v>
      </c>
      <c r="H86" s="62"/>
      <c r="I86" s="62"/>
      <c r="J86" s="40" t="s">
        <v>260</v>
      </c>
      <c r="K86" s="48" t="s">
        <v>269</v>
      </c>
      <c r="L86" s="64"/>
      <c r="M86" s="64"/>
      <c r="N86" s="64"/>
      <c r="O86" s="65"/>
    </row>
    <row r="87">
      <c r="A87" s="39">
        <v>80.0</v>
      </c>
      <c r="B87" s="70" t="s">
        <v>118</v>
      </c>
      <c r="C87" s="62" t="s">
        <v>71</v>
      </c>
      <c r="D87" s="62" t="s">
        <v>320</v>
      </c>
      <c r="E87" s="118"/>
      <c r="F87" s="62">
        <v>16.0</v>
      </c>
      <c r="H87" s="62"/>
      <c r="I87" s="62"/>
      <c r="J87" s="40" t="s">
        <v>260</v>
      </c>
      <c r="K87" s="48" t="s">
        <v>269</v>
      </c>
      <c r="L87" s="64"/>
      <c r="M87" s="64"/>
      <c r="N87" s="64"/>
      <c r="O87" s="65"/>
    </row>
    <row r="88" ht="45.0" hidden="1" customHeight="1">
      <c r="A88" s="39"/>
      <c r="B88" s="70" t="s">
        <v>118</v>
      </c>
      <c r="C88" s="62" t="s">
        <v>71</v>
      </c>
      <c r="D88" s="62" t="s">
        <v>321</v>
      </c>
      <c r="E88" s="147"/>
      <c r="H88" s="72"/>
      <c r="I88" s="62"/>
      <c r="J88" s="40" t="s">
        <v>283</v>
      </c>
      <c r="K88" s="48"/>
      <c r="L88" s="64"/>
      <c r="M88" s="64"/>
      <c r="N88" s="64"/>
      <c r="O88" s="65"/>
    </row>
    <row r="89" hidden="1">
      <c r="A89" s="39">
        <v>81.0</v>
      </c>
      <c r="B89" s="70" t="s">
        <v>118</v>
      </c>
      <c r="C89" s="62" t="s">
        <v>20</v>
      </c>
      <c r="D89" s="62" t="s">
        <v>322</v>
      </c>
      <c r="E89" s="147" t="s">
        <v>323</v>
      </c>
      <c r="F89" s="62">
        <v>24.0</v>
      </c>
      <c r="H89" s="72"/>
      <c r="I89" s="62"/>
      <c r="J89" s="40" t="s">
        <v>266</v>
      </c>
      <c r="K89" s="48" t="s">
        <v>261</v>
      </c>
      <c r="L89" s="64"/>
      <c r="M89" s="64"/>
      <c r="N89" s="64"/>
      <c r="O89" s="65"/>
    </row>
    <row r="90" hidden="1">
      <c r="A90" s="39">
        <v>82.0</v>
      </c>
      <c r="B90" s="70" t="s">
        <v>118</v>
      </c>
      <c r="C90" s="62" t="s">
        <v>71</v>
      </c>
      <c r="D90" s="62" t="s">
        <v>159</v>
      </c>
      <c r="E90" s="3"/>
      <c r="H90" s="62"/>
      <c r="I90" s="62"/>
      <c r="J90" s="40" t="s">
        <v>266</v>
      </c>
      <c r="K90" s="48" t="s">
        <v>261</v>
      </c>
      <c r="L90" s="64"/>
      <c r="M90" s="64"/>
      <c r="N90" s="64"/>
      <c r="O90" s="65"/>
    </row>
    <row r="91">
      <c r="A91" s="39">
        <v>83.0</v>
      </c>
      <c r="B91" s="61" t="s">
        <v>160</v>
      </c>
      <c r="C91" s="61" t="s">
        <v>88</v>
      </c>
      <c r="D91" s="61" t="s">
        <v>161</v>
      </c>
      <c r="E91" s="3"/>
      <c r="F91" s="64"/>
      <c r="H91" s="72"/>
      <c r="I91" s="62"/>
      <c r="J91" s="40" t="s">
        <v>260</v>
      </c>
      <c r="K91" s="48" t="s">
        <v>269</v>
      </c>
      <c r="L91" s="64"/>
      <c r="M91" s="64"/>
      <c r="N91" s="64"/>
      <c r="O91" s="65"/>
    </row>
    <row r="92">
      <c r="A92" s="39">
        <v>84.0</v>
      </c>
      <c r="B92" s="73" t="s">
        <v>160</v>
      </c>
      <c r="C92" s="72" t="s">
        <v>20</v>
      </c>
      <c r="D92" s="72" t="s">
        <v>162</v>
      </c>
      <c r="E92" s="3"/>
      <c r="F92" s="64"/>
      <c r="H92" s="72"/>
      <c r="I92" s="62"/>
      <c r="J92" s="40" t="s">
        <v>260</v>
      </c>
      <c r="K92" s="48" t="s">
        <v>277</v>
      </c>
      <c r="L92" s="64"/>
      <c r="M92" s="64"/>
      <c r="N92" s="64"/>
      <c r="O92" s="65"/>
    </row>
    <row r="93">
      <c r="A93" s="39">
        <v>85.0</v>
      </c>
      <c r="B93" s="73" t="s">
        <v>160</v>
      </c>
      <c r="C93" s="72" t="s">
        <v>140</v>
      </c>
      <c r="D93" s="72" t="s">
        <v>163</v>
      </c>
      <c r="E93" s="3"/>
      <c r="F93" s="64"/>
      <c r="H93" s="72"/>
      <c r="I93" s="62"/>
      <c r="J93" s="40" t="s">
        <v>260</v>
      </c>
      <c r="K93" s="48" t="s">
        <v>277</v>
      </c>
      <c r="L93" s="64"/>
      <c r="M93" s="64"/>
      <c r="N93" s="64"/>
      <c r="O93" s="65"/>
    </row>
    <row r="94" hidden="1">
      <c r="A94" s="39">
        <v>86.0</v>
      </c>
      <c r="B94" s="73" t="s">
        <v>160</v>
      </c>
      <c r="C94" s="72" t="s">
        <v>20</v>
      </c>
      <c r="D94" s="72" t="s">
        <v>143</v>
      </c>
      <c r="E94" s="118" t="s">
        <v>319</v>
      </c>
      <c r="F94" s="62">
        <v>32.0</v>
      </c>
      <c r="H94" s="72"/>
      <c r="I94" s="62"/>
      <c r="J94" s="40" t="s">
        <v>283</v>
      </c>
      <c r="K94" s="48" t="s">
        <v>277</v>
      </c>
      <c r="L94" s="64"/>
      <c r="M94" s="64"/>
      <c r="N94" s="64"/>
      <c r="O94" s="65"/>
    </row>
    <row r="95">
      <c r="A95" s="39">
        <v>87.0</v>
      </c>
      <c r="B95" s="73" t="s">
        <v>160</v>
      </c>
      <c r="C95" s="72" t="s">
        <v>140</v>
      </c>
      <c r="D95" s="72" t="s">
        <v>164</v>
      </c>
      <c r="E95" s="3"/>
      <c r="F95" s="64"/>
      <c r="H95" s="72"/>
      <c r="I95" s="62"/>
      <c r="J95" s="40" t="s">
        <v>260</v>
      </c>
      <c r="K95" s="48" t="s">
        <v>277</v>
      </c>
      <c r="L95" s="64"/>
      <c r="M95" s="64"/>
      <c r="N95" s="64"/>
      <c r="O95" s="65"/>
    </row>
    <row r="96" hidden="1">
      <c r="A96" s="39">
        <v>88.0</v>
      </c>
      <c r="B96" s="73" t="s">
        <v>160</v>
      </c>
      <c r="C96" s="72" t="s">
        <v>140</v>
      </c>
      <c r="D96" s="72" t="s">
        <v>165</v>
      </c>
      <c r="E96" s="3"/>
      <c r="F96" s="64"/>
      <c r="H96" s="72"/>
      <c r="I96" s="62"/>
      <c r="J96" s="40" t="s">
        <v>283</v>
      </c>
      <c r="K96" s="48" t="s">
        <v>277</v>
      </c>
      <c r="L96" s="64"/>
      <c r="M96" s="64"/>
      <c r="N96" s="64"/>
      <c r="O96" s="65"/>
    </row>
    <row r="97" hidden="1">
      <c r="A97" s="39">
        <v>89.0</v>
      </c>
      <c r="B97" s="73" t="s">
        <v>160</v>
      </c>
      <c r="C97" s="72" t="s">
        <v>140</v>
      </c>
      <c r="D97" s="72" t="s">
        <v>166</v>
      </c>
      <c r="E97" s="3"/>
      <c r="F97" s="67"/>
      <c r="H97" s="74"/>
      <c r="I97" s="61"/>
      <c r="J97" s="40" t="s">
        <v>283</v>
      </c>
      <c r="K97" s="48" t="s">
        <v>261</v>
      </c>
      <c r="L97" s="67"/>
      <c r="M97" s="67"/>
      <c r="N97" s="67"/>
      <c r="O97" s="68"/>
    </row>
    <row r="98" hidden="1">
      <c r="A98" s="39">
        <v>90.0</v>
      </c>
      <c r="B98" s="75" t="s">
        <v>167</v>
      </c>
      <c r="C98" s="74" t="s">
        <v>88</v>
      </c>
      <c r="D98" s="74" t="s">
        <v>168</v>
      </c>
      <c r="E98" s="3"/>
      <c r="F98" s="67"/>
      <c r="H98" s="74"/>
      <c r="I98" s="61"/>
      <c r="J98" s="40" t="s">
        <v>283</v>
      </c>
      <c r="K98" s="48" t="s">
        <v>269</v>
      </c>
      <c r="L98" s="67"/>
      <c r="M98" s="67"/>
      <c r="N98" s="67"/>
      <c r="O98" s="68"/>
    </row>
    <row r="99" hidden="1">
      <c r="A99" s="39">
        <v>91.0</v>
      </c>
      <c r="B99" s="73" t="s">
        <v>167</v>
      </c>
      <c r="C99" s="72" t="s">
        <v>20</v>
      </c>
      <c r="D99" s="72" t="s">
        <v>169</v>
      </c>
      <c r="E99" s="118" t="s">
        <v>324</v>
      </c>
      <c r="F99" s="62">
        <v>104.0</v>
      </c>
      <c r="H99" s="72"/>
      <c r="I99" s="62"/>
      <c r="J99" s="40" t="s">
        <v>283</v>
      </c>
      <c r="K99" s="48" t="s">
        <v>277</v>
      </c>
      <c r="L99" s="64"/>
      <c r="M99" s="64"/>
      <c r="N99" s="64"/>
      <c r="O99" s="65"/>
    </row>
    <row r="100" hidden="1">
      <c r="A100" s="39">
        <v>92.0</v>
      </c>
      <c r="B100" s="73" t="s">
        <v>167</v>
      </c>
      <c r="C100" s="72" t="s">
        <v>20</v>
      </c>
      <c r="D100" s="72" t="s">
        <v>170</v>
      </c>
      <c r="E100" s="118" t="s">
        <v>324</v>
      </c>
      <c r="H100" s="72"/>
      <c r="I100" s="62"/>
      <c r="J100" s="40" t="s">
        <v>283</v>
      </c>
      <c r="K100" s="48" t="s">
        <v>277</v>
      </c>
      <c r="L100" s="64"/>
      <c r="M100" s="64"/>
      <c r="N100" s="64"/>
      <c r="O100" s="65"/>
    </row>
    <row r="101" hidden="1">
      <c r="A101" s="39">
        <v>93.0</v>
      </c>
      <c r="B101" s="73" t="s">
        <v>167</v>
      </c>
      <c r="C101" s="72" t="s">
        <v>71</v>
      </c>
      <c r="D101" s="72" t="s">
        <v>325</v>
      </c>
      <c r="E101" s="118" t="s">
        <v>324</v>
      </c>
      <c r="F101" s="62">
        <v>80.0</v>
      </c>
      <c r="H101" s="72"/>
      <c r="I101" s="62"/>
      <c r="J101" s="40" t="s">
        <v>266</v>
      </c>
      <c r="K101" s="48" t="s">
        <v>277</v>
      </c>
      <c r="L101" s="64"/>
      <c r="M101" s="64"/>
      <c r="N101" s="64"/>
      <c r="O101" s="65"/>
    </row>
    <row r="102" hidden="1">
      <c r="A102" s="39">
        <v>94.0</v>
      </c>
      <c r="B102" s="73" t="s">
        <v>167</v>
      </c>
      <c r="C102" s="72" t="s">
        <v>20</v>
      </c>
      <c r="D102" s="72" t="s">
        <v>172</v>
      </c>
      <c r="E102" s="118" t="s">
        <v>324</v>
      </c>
      <c r="H102" s="72"/>
      <c r="I102" s="62"/>
      <c r="J102" s="40" t="s">
        <v>283</v>
      </c>
      <c r="K102" s="48" t="s">
        <v>277</v>
      </c>
      <c r="L102" s="64"/>
      <c r="M102" s="64"/>
      <c r="N102" s="64"/>
      <c r="O102" s="65"/>
    </row>
    <row r="103" hidden="1">
      <c r="A103" s="39">
        <v>95.0</v>
      </c>
      <c r="B103" s="73" t="s">
        <v>167</v>
      </c>
      <c r="C103" s="72" t="s">
        <v>71</v>
      </c>
      <c r="D103" s="72" t="s">
        <v>173</v>
      </c>
      <c r="E103" s="118" t="s">
        <v>324</v>
      </c>
      <c r="H103" s="74"/>
      <c r="I103" s="61"/>
      <c r="J103" s="40" t="s">
        <v>283</v>
      </c>
      <c r="K103" s="48" t="s">
        <v>261</v>
      </c>
      <c r="L103" s="67"/>
      <c r="M103" s="67"/>
      <c r="N103" s="67"/>
      <c r="O103" s="68"/>
    </row>
    <row r="104" hidden="1">
      <c r="A104" s="39">
        <v>96.0</v>
      </c>
      <c r="B104" s="75" t="s">
        <v>174</v>
      </c>
      <c r="C104" s="74" t="s">
        <v>88</v>
      </c>
      <c r="D104" s="74" t="s">
        <v>175</v>
      </c>
      <c r="E104" s="3"/>
      <c r="F104" s="67"/>
      <c r="H104" s="74"/>
      <c r="I104" s="61"/>
      <c r="J104" s="40" t="s">
        <v>283</v>
      </c>
      <c r="K104" s="48" t="s">
        <v>269</v>
      </c>
      <c r="L104" s="67"/>
      <c r="M104" s="67"/>
      <c r="N104" s="67"/>
      <c r="O104" s="68"/>
    </row>
    <row r="105" hidden="1">
      <c r="A105" s="39">
        <v>97.0</v>
      </c>
      <c r="B105" s="73" t="s">
        <v>174</v>
      </c>
      <c r="C105" s="72" t="s">
        <v>20</v>
      </c>
      <c r="D105" s="72" t="s">
        <v>176</v>
      </c>
      <c r="E105" s="118" t="s">
        <v>324</v>
      </c>
      <c r="F105" s="61">
        <v>80.0</v>
      </c>
      <c r="H105" s="74"/>
      <c r="I105" s="61"/>
      <c r="J105" s="40" t="s">
        <v>283</v>
      </c>
      <c r="K105" s="48" t="s">
        <v>277</v>
      </c>
      <c r="L105" s="67"/>
      <c r="M105" s="67"/>
      <c r="N105" s="67"/>
      <c r="O105" s="68"/>
    </row>
    <row r="106" hidden="1">
      <c r="A106" s="39">
        <v>98.0</v>
      </c>
      <c r="B106" s="73" t="s">
        <v>174</v>
      </c>
      <c r="C106" s="72" t="s">
        <v>20</v>
      </c>
      <c r="D106" s="72" t="s">
        <v>170</v>
      </c>
      <c r="E106" s="118" t="s">
        <v>324</v>
      </c>
      <c r="F106" s="61">
        <v>64.0</v>
      </c>
      <c r="H106" s="74"/>
      <c r="I106" s="61"/>
      <c r="J106" s="40" t="s">
        <v>283</v>
      </c>
      <c r="K106" s="48" t="s">
        <v>277</v>
      </c>
      <c r="L106" s="67"/>
      <c r="M106" s="67"/>
      <c r="N106" s="67"/>
      <c r="O106" s="68"/>
    </row>
    <row r="107" hidden="1">
      <c r="A107" s="39">
        <v>99.0</v>
      </c>
      <c r="B107" s="73" t="s">
        <v>174</v>
      </c>
      <c r="C107" s="72" t="s">
        <v>71</v>
      </c>
      <c r="D107" s="72" t="s">
        <v>177</v>
      </c>
      <c r="E107" s="118" t="s">
        <v>324</v>
      </c>
      <c r="F107" s="61">
        <v>70.0</v>
      </c>
      <c r="H107" s="74"/>
      <c r="I107" s="61"/>
      <c r="J107" s="40" t="s">
        <v>283</v>
      </c>
      <c r="K107" s="48" t="s">
        <v>277</v>
      </c>
      <c r="L107" s="67"/>
      <c r="M107" s="67"/>
      <c r="N107" s="67"/>
      <c r="O107" s="68"/>
    </row>
    <row r="108" hidden="1">
      <c r="A108" s="39">
        <v>100.0</v>
      </c>
      <c r="B108" s="73" t="s">
        <v>174</v>
      </c>
      <c r="C108" s="72" t="s">
        <v>20</v>
      </c>
      <c r="D108" s="72" t="s">
        <v>172</v>
      </c>
      <c r="E108" s="118" t="s">
        <v>324</v>
      </c>
      <c r="F108" s="61"/>
      <c r="H108" s="74"/>
      <c r="I108" s="61"/>
      <c r="J108" s="40" t="s">
        <v>283</v>
      </c>
      <c r="K108" s="48" t="s">
        <v>277</v>
      </c>
      <c r="L108" s="67"/>
      <c r="M108" s="67"/>
      <c r="N108" s="67"/>
      <c r="O108" s="68"/>
    </row>
    <row r="109" hidden="1">
      <c r="A109" s="39">
        <v>101.0</v>
      </c>
      <c r="B109" s="73" t="s">
        <v>174</v>
      </c>
      <c r="C109" s="72" t="s">
        <v>71</v>
      </c>
      <c r="D109" s="76" t="s">
        <v>178</v>
      </c>
      <c r="E109" s="118" t="s">
        <v>324</v>
      </c>
      <c r="F109" s="61">
        <v>150.0</v>
      </c>
      <c r="H109" s="74"/>
      <c r="I109" s="61"/>
      <c r="J109" s="40" t="s">
        <v>283</v>
      </c>
      <c r="K109" s="48" t="s">
        <v>269</v>
      </c>
      <c r="L109" s="67"/>
      <c r="M109" s="67"/>
      <c r="N109" s="67"/>
      <c r="O109" s="68"/>
    </row>
    <row r="110" hidden="1">
      <c r="A110" s="39">
        <v>102.0</v>
      </c>
      <c r="B110" s="73" t="s">
        <v>174</v>
      </c>
      <c r="C110" s="76" t="s">
        <v>20</v>
      </c>
      <c r="D110" s="76" t="s">
        <v>179</v>
      </c>
      <c r="E110" s="118" t="s">
        <v>324</v>
      </c>
      <c r="F110" s="61">
        <v>90.0</v>
      </c>
      <c r="H110" s="74"/>
      <c r="I110" s="61"/>
      <c r="J110" s="40" t="s">
        <v>283</v>
      </c>
      <c r="K110" s="48" t="s">
        <v>277</v>
      </c>
      <c r="L110" s="67"/>
      <c r="M110" s="67"/>
      <c r="N110" s="67"/>
      <c r="O110" s="68"/>
    </row>
    <row r="111" hidden="1">
      <c r="A111" s="39">
        <v>103.0</v>
      </c>
      <c r="B111" s="73" t="s">
        <v>174</v>
      </c>
      <c r="C111" s="76" t="s">
        <v>71</v>
      </c>
      <c r="D111" s="76" t="s">
        <v>180</v>
      </c>
      <c r="E111" s="118" t="s">
        <v>324</v>
      </c>
      <c r="F111" s="61">
        <v>20.0</v>
      </c>
      <c r="H111" s="74"/>
      <c r="I111" s="61"/>
      <c r="J111" s="40" t="s">
        <v>283</v>
      </c>
      <c r="K111" s="48" t="s">
        <v>261</v>
      </c>
      <c r="L111" s="67"/>
      <c r="M111" s="67"/>
      <c r="N111" s="67"/>
      <c r="O111" s="68"/>
    </row>
    <row r="112" hidden="1">
      <c r="A112" s="39">
        <v>104.0</v>
      </c>
      <c r="B112" s="75" t="s">
        <v>181</v>
      </c>
      <c r="C112" s="74" t="s">
        <v>88</v>
      </c>
      <c r="D112" s="74" t="s">
        <v>182</v>
      </c>
      <c r="E112" s="3"/>
      <c r="F112" s="67"/>
      <c r="H112" s="74"/>
      <c r="I112" s="61"/>
      <c r="J112" s="40" t="s">
        <v>266</v>
      </c>
      <c r="K112" s="48" t="s">
        <v>269</v>
      </c>
      <c r="L112" s="67"/>
      <c r="M112" s="67"/>
      <c r="N112" s="67"/>
      <c r="O112" s="68"/>
    </row>
    <row r="113" hidden="1">
      <c r="A113" s="39">
        <v>105.0</v>
      </c>
      <c r="B113" s="73" t="s">
        <v>181</v>
      </c>
      <c r="C113" s="72" t="s">
        <v>20</v>
      </c>
      <c r="D113" s="72" t="s">
        <v>183</v>
      </c>
      <c r="E113" s="3"/>
      <c r="F113" s="62">
        <v>80.0</v>
      </c>
      <c r="H113" s="72"/>
      <c r="I113" s="62"/>
      <c r="J113" s="40" t="s">
        <v>283</v>
      </c>
      <c r="K113" s="48" t="s">
        <v>261</v>
      </c>
      <c r="L113" s="64"/>
      <c r="M113" s="64"/>
      <c r="N113" s="64"/>
      <c r="O113" s="65"/>
    </row>
    <row r="114">
      <c r="A114" s="39"/>
      <c r="B114" s="73"/>
      <c r="C114" s="72"/>
      <c r="D114" s="72" t="s">
        <v>326</v>
      </c>
      <c r="E114" s="3"/>
      <c r="F114" s="62"/>
      <c r="H114" s="72"/>
      <c r="I114" s="62"/>
      <c r="J114" s="40" t="s">
        <v>260</v>
      </c>
      <c r="K114" s="48"/>
      <c r="L114" s="64"/>
      <c r="M114" s="64"/>
      <c r="N114" s="64"/>
      <c r="O114" s="65"/>
    </row>
    <row r="115">
      <c r="A115" s="39"/>
      <c r="B115" s="73"/>
      <c r="C115" s="72"/>
      <c r="D115" s="72" t="s">
        <v>327</v>
      </c>
      <c r="E115" s="3"/>
      <c r="F115" s="62"/>
      <c r="H115" s="72"/>
      <c r="I115" s="62"/>
      <c r="J115" s="40" t="s">
        <v>260</v>
      </c>
      <c r="K115" s="48"/>
      <c r="L115" s="64"/>
      <c r="M115" s="64"/>
      <c r="N115" s="64"/>
      <c r="O115" s="65"/>
    </row>
    <row r="116">
      <c r="A116" s="39">
        <v>106.0</v>
      </c>
      <c r="B116" s="73" t="s">
        <v>181</v>
      </c>
      <c r="C116" s="72" t="s">
        <v>71</v>
      </c>
      <c r="D116" s="72" t="s">
        <v>328</v>
      </c>
      <c r="E116" s="3"/>
      <c r="F116" s="62">
        <v>4.0</v>
      </c>
      <c r="H116" s="72"/>
      <c r="I116" s="62"/>
      <c r="J116" s="40" t="s">
        <v>260</v>
      </c>
      <c r="K116" s="48" t="s">
        <v>277</v>
      </c>
      <c r="L116" s="64"/>
      <c r="M116" s="64"/>
      <c r="N116" s="64"/>
      <c r="O116" s="77"/>
    </row>
    <row r="117" hidden="1">
      <c r="A117" s="39">
        <v>107.0</v>
      </c>
      <c r="B117" s="73" t="s">
        <v>181</v>
      </c>
      <c r="C117" s="72" t="s">
        <v>20</v>
      </c>
      <c r="D117" s="72" t="s">
        <v>184</v>
      </c>
      <c r="E117" s="3"/>
      <c r="F117" s="62">
        <v>90.0</v>
      </c>
      <c r="H117" s="72"/>
      <c r="I117" s="62"/>
      <c r="J117" s="40" t="s">
        <v>283</v>
      </c>
      <c r="K117" s="48" t="s">
        <v>277</v>
      </c>
      <c r="L117" s="64"/>
      <c r="M117" s="64"/>
      <c r="N117" s="64"/>
      <c r="O117" s="77"/>
    </row>
    <row r="118" hidden="1">
      <c r="A118" s="39"/>
      <c r="B118" s="73" t="s">
        <v>181</v>
      </c>
      <c r="C118" s="72" t="s">
        <v>20</v>
      </c>
      <c r="D118" s="72" t="s">
        <v>185</v>
      </c>
      <c r="E118" s="3"/>
      <c r="F118" s="62"/>
      <c r="H118" s="72"/>
      <c r="I118" s="62"/>
      <c r="J118" s="40" t="s">
        <v>283</v>
      </c>
      <c r="K118" s="48"/>
      <c r="L118" s="64"/>
      <c r="M118" s="64"/>
      <c r="N118" s="64"/>
      <c r="O118" s="77"/>
    </row>
    <row r="119" hidden="1">
      <c r="A119" s="39">
        <v>108.0</v>
      </c>
      <c r="B119" s="73" t="s">
        <v>181</v>
      </c>
      <c r="C119" s="72" t="s">
        <v>20</v>
      </c>
      <c r="D119" s="72" t="s">
        <v>186</v>
      </c>
      <c r="E119" s="3"/>
      <c r="F119" s="62">
        <v>150.0</v>
      </c>
      <c r="H119" s="72"/>
      <c r="I119" s="62"/>
      <c r="J119" s="40" t="s">
        <v>283</v>
      </c>
      <c r="K119" s="48" t="s">
        <v>277</v>
      </c>
      <c r="L119" s="64"/>
      <c r="M119" s="64"/>
      <c r="N119" s="64"/>
      <c r="O119" s="77"/>
    </row>
    <row r="120">
      <c r="A120" s="39">
        <v>109.0</v>
      </c>
      <c r="B120" s="75" t="s">
        <v>187</v>
      </c>
      <c r="C120" s="74" t="s">
        <v>88</v>
      </c>
      <c r="D120" s="74" t="s">
        <v>188</v>
      </c>
      <c r="E120" s="118" t="s">
        <v>329</v>
      </c>
      <c r="F120" s="67"/>
      <c r="H120" s="74"/>
      <c r="I120" s="61"/>
      <c r="J120" s="40" t="s">
        <v>260</v>
      </c>
      <c r="K120" s="48" t="s">
        <v>269</v>
      </c>
      <c r="L120" s="67"/>
      <c r="M120" s="67"/>
      <c r="N120" s="67"/>
      <c r="O120" s="78"/>
    </row>
    <row r="121">
      <c r="A121" s="39">
        <v>110.0</v>
      </c>
      <c r="B121" s="73" t="s">
        <v>187</v>
      </c>
      <c r="C121" s="72" t="s">
        <v>20</v>
      </c>
      <c r="D121" s="72" t="s">
        <v>189</v>
      </c>
      <c r="E121" s="3"/>
      <c r="F121" s="62">
        <v>16.0</v>
      </c>
      <c r="H121" s="72"/>
      <c r="I121" s="62"/>
      <c r="J121" s="40" t="s">
        <v>260</v>
      </c>
      <c r="K121" s="48" t="s">
        <v>277</v>
      </c>
      <c r="L121" s="64"/>
      <c r="M121" s="64"/>
      <c r="N121" s="64"/>
      <c r="O121" s="77"/>
    </row>
    <row r="122">
      <c r="A122" s="39">
        <v>111.0</v>
      </c>
      <c r="B122" s="73" t="s">
        <v>187</v>
      </c>
      <c r="C122" s="72" t="s">
        <v>71</v>
      </c>
      <c r="D122" s="72" t="s">
        <v>190</v>
      </c>
      <c r="E122" s="3"/>
      <c r="F122" s="62">
        <v>40.0</v>
      </c>
      <c r="H122" s="72" t="s">
        <v>191</v>
      </c>
      <c r="I122" s="62"/>
      <c r="J122" s="40" t="s">
        <v>260</v>
      </c>
      <c r="K122" s="48" t="s">
        <v>269</v>
      </c>
      <c r="L122" s="64"/>
      <c r="M122" s="64"/>
      <c r="N122" s="64"/>
      <c r="O122" s="77"/>
    </row>
    <row r="123" hidden="1">
      <c r="A123" s="39">
        <v>112.0</v>
      </c>
      <c r="B123" s="73" t="s">
        <v>187</v>
      </c>
      <c r="C123" s="72" t="s">
        <v>71</v>
      </c>
      <c r="D123" s="72" t="s">
        <v>192</v>
      </c>
      <c r="E123" s="147" t="s">
        <v>330</v>
      </c>
      <c r="F123" s="64"/>
      <c r="H123" s="72"/>
      <c r="I123" s="62"/>
      <c r="J123" s="40" t="s">
        <v>266</v>
      </c>
      <c r="K123" s="48" t="s">
        <v>269</v>
      </c>
      <c r="L123" s="64"/>
      <c r="M123" s="64"/>
      <c r="N123" s="64"/>
      <c r="O123" s="77"/>
    </row>
    <row r="124">
      <c r="A124" s="39">
        <v>113.0</v>
      </c>
      <c r="B124" s="70" t="s">
        <v>193</v>
      </c>
      <c r="C124" s="61" t="s">
        <v>88</v>
      </c>
      <c r="D124" s="61" t="s">
        <v>194</v>
      </c>
      <c r="E124" s="3"/>
      <c r="F124" s="62"/>
      <c r="H124" s="62"/>
      <c r="I124" s="62"/>
      <c r="J124" s="40" t="s">
        <v>260</v>
      </c>
      <c r="K124" s="48" t="s">
        <v>269</v>
      </c>
      <c r="L124" s="64"/>
      <c r="M124" s="64"/>
      <c r="N124" s="64"/>
      <c r="O124" s="77"/>
    </row>
    <row r="125">
      <c r="A125" s="39">
        <v>114.0</v>
      </c>
      <c r="B125" s="60" t="s">
        <v>195</v>
      </c>
      <c r="C125" s="61" t="s">
        <v>88</v>
      </c>
      <c r="D125" s="74" t="s">
        <v>196</v>
      </c>
      <c r="E125" s="118" t="s">
        <v>331</v>
      </c>
      <c r="F125" s="67"/>
      <c r="H125" s="61"/>
      <c r="I125" s="61"/>
      <c r="J125" s="40" t="s">
        <v>260</v>
      </c>
      <c r="K125" s="48" t="s">
        <v>269</v>
      </c>
      <c r="L125" s="67"/>
      <c r="M125" s="67"/>
      <c r="N125" s="67"/>
      <c r="O125" s="78"/>
    </row>
    <row r="126">
      <c r="A126" s="39">
        <v>115.0</v>
      </c>
      <c r="B126" s="79" t="s">
        <v>195</v>
      </c>
      <c r="C126" s="72" t="s">
        <v>20</v>
      </c>
      <c r="D126" s="153" t="s">
        <v>197</v>
      </c>
      <c r="E126" s="149" t="s">
        <v>332</v>
      </c>
      <c r="F126" s="81"/>
      <c r="H126" s="72"/>
      <c r="I126" s="72"/>
      <c r="J126" s="40" t="s">
        <v>260</v>
      </c>
      <c r="K126" s="48" t="s">
        <v>277</v>
      </c>
      <c r="L126" s="81"/>
      <c r="M126" s="81"/>
      <c r="N126" s="81"/>
      <c r="O126" s="82"/>
    </row>
    <row r="127">
      <c r="A127" s="39">
        <v>116.0</v>
      </c>
      <c r="B127" s="79" t="s">
        <v>195</v>
      </c>
      <c r="C127" s="72" t="s">
        <v>71</v>
      </c>
      <c r="D127" s="72" t="s">
        <v>198</v>
      </c>
      <c r="E127" s="3"/>
      <c r="F127" s="72">
        <v>2.0</v>
      </c>
      <c r="H127" s="72"/>
      <c r="I127" s="72"/>
      <c r="J127" s="40" t="s">
        <v>260</v>
      </c>
      <c r="K127" s="48" t="s">
        <v>269</v>
      </c>
      <c r="L127" s="81"/>
      <c r="M127" s="81"/>
      <c r="N127" s="81"/>
      <c r="O127" s="82"/>
    </row>
    <row r="128">
      <c r="A128" s="39">
        <v>117.0</v>
      </c>
      <c r="B128" s="79" t="s">
        <v>195</v>
      </c>
      <c r="C128" s="72" t="s">
        <v>20</v>
      </c>
      <c r="D128" s="72" t="s">
        <v>199</v>
      </c>
      <c r="E128" s="3"/>
      <c r="F128" s="72">
        <v>2.0</v>
      </c>
      <c r="H128" s="72"/>
      <c r="I128" s="72"/>
      <c r="J128" s="40" t="s">
        <v>260</v>
      </c>
      <c r="K128" s="48" t="s">
        <v>269</v>
      </c>
      <c r="L128" s="81"/>
      <c r="M128" s="81"/>
      <c r="N128" s="81"/>
      <c r="O128" s="82"/>
    </row>
    <row r="129">
      <c r="A129" s="39">
        <v>118.0</v>
      </c>
      <c r="B129" s="79" t="s">
        <v>195</v>
      </c>
      <c r="C129" s="72" t="s">
        <v>71</v>
      </c>
      <c r="D129" s="72" t="s">
        <v>200</v>
      </c>
      <c r="E129" s="118" t="s">
        <v>333</v>
      </c>
      <c r="F129" s="72">
        <v>2.0</v>
      </c>
      <c r="H129" s="72"/>
      <c r="I129" s="72"/>
      <c r="J129" s="40" t="s">
        <v>260</v>
      </c>
      <c r="K129" s="48" t="s">
        <v>269</v>
      </c>
      <c r="L129" s="81"/>
      <c r="M129" s="81"/>
      <c r="N129" s="81"/>
      <c r="O129" s="82"/>
    </row>
    <row r="130" hidden="1">
      <c r="A130" s="39">
        <v>119.0</v>
      </c>
      <c r="B130" s="79" t="s">
        <v>195</v>
      </c>
      <c r="C130" s="72" t="s">
        <v>71</v>
      </c>
      <c r="D130" s="153" t="s">
        <v>201</v>
      </c>
      <c r="E130" s="149" t="s">
        <v>334</v>
      </c>
      <c r="F130" s="81"/>
      <c r="H130" s="72"/>
      <c r="I130" s="72"/>
      <c r="J130" s="40" t="s">
        <v>266</v>
      </c>
      <c r="K130" s="48" t="s">
        <v>269</v>
      </c>
      <c r="L130" s="81"/>
      <c r="M130" s="81"/>
      <c r="N130" s="81"/>
      <c r="O130" s="82"/>
    </row>
    <row r="131">
      <c r="A131" s="39">
        <v>120.0</v>
      </c>
      <c r="B131" s="79" t="s">
        <v>195</v>
      </c>
      <c r="C131" s="72" t="s">
        <v>71</v>
      </c>
      <c r="D131" s="154" t="s">
        <v>202</v>
      </c>
      <c r="E131" s="147" t="s">
        <v>335</v>
      </c>
      <c r="F131" s="81"/>
      <c r="H131" s="72"/>
      <c r="I131" s="72"/>
      <c r="J131" s="40" t="s">
        <v>260</v>
      </c>
      <c r="K131" s="48" t="s">
        <v>269</v>
      </c>
      <c r="L131" s="81"/>
      <c r="M131" s="81"/>
      <c r="N131" s="81"/>
      <c r="O131" s="82"/>
    </row>
    <row r="132" hidden="1">
      <c r="A132" s="39"/>
      <c r="B132" s="79"/>
      <c r="C132" s="72"/>
      <c r="D132" s="72"/>
      <c r="E132" s="3"/>
      <c r="F132" s="81"/>
      <c r="H132" s="72"/>
      <c r="I132" s="72"/>
      <c r="J132" s="40"/>
      <c r="K132" s="48"/>
      <c r="L132" s="81"/>
      <c r="M132" s="81"/>
      <c r="N132" s="81"/>
      <c r="O132" s="82"/>
    </row>
    <row r="133">
      <c r="A133" s="39">
        <v>122.0</v>
      </c>
      <c r="B133" s="79" t="s">
        <v>195</v>
      </c>
      <c r="C133" s="72" t="s">
        <v>71</v>
      </c>
      <c r="D133" s="72" t="s">
        <v>204</v>
      </c>
      <c r="E133" s="3"/>
      <c r="F133" s="81"/>
      <c r="H133" s="72"/>
      <c r="I133" s="72"/>
      <c r="J133" s="40" t="s">
        <v>260</v>
      </c>
      <c r="K133" s="48" t="s">
        <v>269</v>
      </c>
      <c r="L133" s="81"/>
      <c r="M133" s="81"/>
      <c r="N133" s="81"/>
      <c r="O133" s="82"/>
    </row>
    <row r="134" hidden="1">
      <c r="A134" s="39">
        <v>123.0</v>
      </c>
      <c r="B134" s="79" t="s">
        <v>195</v>
      </c>
      <c r="C134" s="72" t="s">
        <v>20</v>
      </c>
      <c r="D134" s="72" t="s">
        <v>205</v>
      </c>
      <c r="E134" s="147" t="s">
        <v>335</v>
      </c>
      <c r="F134" s="81"/>
      <c r="H134" s="72" t="s">
        <v>206</v>
      </c>
      <c r="I134" s="72"/>
      <c r="J134" s="40" t="s">
        <v>266</v>
      </c>
      <c r="K134" s="48" t="s">
        <v>262</v>
      </c>
      <c r="L134" s="81"/>
      <c r="M134" s="81"/>
      <c r="N134" s="81"/>
      <c r="O134" s="82"/>
    </row>
    <row r="135">
      <c r="A135" s="39">
        <v>124.0</v>
      </c>
      <c r="B135" s="79" t="s">
        <v>195</v>
      </c>
      <c r="C135" s="72" t="s">
        <v>71</v>
      </c>
      <c r="D135" s="72" t="s">
        <v>207</v>
      </c>
      <c r="E135" s="147" t="s">
        <v>335</v>
      </c>
      <c r="F135" s="81"/>
      <c r="H135" s="72"/>
      <c r="I135" s="72"/>
      <c r="J135" s="40" t="s">
        <v>260</v>
      </c>
      <c r="K135" s="48" t="s">
        <v>269</v>
      </c>
      <c r="L135" s="81"/>
      <c r="M135" s="81"/>
      <c r="N135" s="81"/>
      <c r="O135" s="82"/>
    </row>
    <row r="136">
      <c r="A136" s="39">
        <v>125.0</v>
      </c>
      <c r="B136" s="79" t="s">
        <v>195</v>
      </c>
      <c r="C136" s="72" t="s">
        <v>20</v>
      </c>
      <c r="D136" s="72" t="s">
        <v>208</v>
      </c>
      <c r="E136" s="147" t="s">
        <v>335</v>
      </c>
      <c r="F136" s="81"/>
      <c r="H136" s="72"/>
      <c r="I136" s="72"/>
      <c r="J136" s="40" t="s">
        <v>260</v>
      </c>
      <c r="K136" s="48" t="s">
        <v>263</v>
      </c>
      <c r="L136" s="81"/>
      <c r="M136" s="81"/>
      <c r="N136" s="81"/>
      <c r="O136" s="82"/>
    </row>
    <row r="137" hidden="1">
      <c r="A137" s="39">
        <v>126.0</v>
      </c>
      <c r="B137" s="79" t="s">
        <v>195</v>
      </c>
      <c r="C137" s="72" t="s">
        <v>71</v>
      </c>
      <c r="D137" s="72" t="s">
        <v>336</v>
      </c>
      <c r="E137" s="147" t="s">
        <v>335</v>
      </c>
      <c r="F137" s="81"/>
      <c r="H137" s="72" t="s">
        <v>210</v>
      </c>
      <c r="I137" s="72"/>
      <c r="J137" s="40" t="s">
        <v>283</v>
      </c>
      <c r="K137" s="48" t="s">
        <v>263</v>
      </c>
      <c r="L137" s="81"/>
      <c r="M137" s="81"/>
      <c r="N137" s="81"/>
      <c r="O137" s="82"/>
    </row>
    <row r="138" hidden="1">
      <c r="A138" s="39"/>
      <c r="B138" s="79"/>
      <c r="C138" s="72" t="s">
        <v>71</v>
      </c>
      <c r="D138" s="72" t="s">
        <v>337</v>
      </c>
      <c r="E138" s="3"/>
      <c r="F138" s="81"/>
      <c r="H138" s="72"/>
      <c r="I138" s="72"/>
      <c r="J138" s="40"/>
      <c r="K138" s="48"/>
      <c r="L138" s="81"/>
      <c r="M138" s="81"/>
      <c r="N138" s="81"/>
      <c r="O138" s="82"/>
    </row>
    <row r="139">
      <c r="A139" s="39">
        <v>127.0</v>
      </c>
      <c r="B139" s="79" t="s">
        <v>195</v>
      </c>
      <c r="C139" s="72" t="s">
        <v>20</v>
      </c>
      <c r="D139" s="72" t="s">
        <v>212</v>
      </c>
      <c r="E139" s="3"/>
      <c r="F139" s="81"/>
      <c r="H139" s="72"/>
      <c r="I139" s="72"/>
      <c r="J139" s="40" t="s">
        <v>260</v>
      </c>
      <c r="K139" s="48" t="s">
        <v>263</v>
      </c>
      <c r="L139" s="81"/>
      <c r="M139" s="81"/>
      <c r="N139" s="81"/>
      <c r="O139" s="82"/>
    </row>
    <row r="140">
      <c r="A140" s="39">
        <v>128.0</v>
      </c>
      <c r="B140" s="79" t="s">
        <v>195</v>
      </c>
      <c r="C140" s="72" t="s">
        <v>20</v>
      </c>
      <c r="D140" s="72" t="s">
        <v>338</v>
      </c>
      <c r="E140" s="3"/>
      <c r="F140" s="81"/>
      <c r="H140" s="72"/>
      <c r="I140" s="72"/>
      <c r="J140" s="40" t="s">
        <v>260</v>
      </c>
      <c r="K140" s="48" t="s">
        <v>263</v>
      </c>
      <c r="L140" s="81"/>
      <c r="M140" s="81"/>
      <c r="N140" s="81"/>
      <c r="O140" s="83"/>
    </row>
    <row r="141" hidden="1">
      <c r="A141" s="39">
        <v>129.0</v>
      </c>
      <c r="B141" s="79" t="s">
        <v>195</v>
      </c>
      <c r="C141" s="72" t="s">
        <v>20</v>
      </c>
      <c r="D141" s="72" t="s">
        <v>214</v>
      </c>
      <c r="F141" s="72">
        <v>80.0</v>
      </c>
      <c r="H141" s="72"/>
      <c r="I141" s="72"/>
      <c r="J141" s="40" t="s">
        <v>266</v>
      </c>
      <c r="K141" s="48" t="s">
        <v>277</v>
      </c>
      <c r="L141" s="81"/>
      <c r="M141" s="81"/>
      <c r="N141" s="81"/>
      <c r="O141" s="83"/>
    </row>
    <row r="142" hidden="1">
      <c r="A142" s="39">
        <v>130.0</v>
      </c>
      <c r="B142" s="79"/>
      <c r="C142" s="72" t="s">
        <v>20</v>
      </c>
      <c r="D142" s="72" t="s">
        <v>215</v>
      </c>
      <c r="E142" s="118"/>
      <c r="F142" s="72">
        <v>20.0</v>
      </c>
      <c r="H142" s="72"/>
      <c r="I142" s="72"/>
      <c r="J142" s="40" t="s">
        <v>283</v>
      </c>
      <c r="K142" s="48" t="s">
        <v>277</v>
      </c>
      <c r="L142" s="81"/>
      <c r="M142" s="81"/>
      <c r="N142" s="81"/>
      <c r="O142" s="83"/>
    </row>
    <row r="143">
      <c r="A143" s="39">
        <v>131.0</v>
      </c>
      <c r="B143" s="79" t="s">
        <v>195</v>
      </c>
      <c r="C143" s="72" t="s">
        <v>71</v>
      </c>
      <c r="D143" s="72" t="s">
        <v>216</v>
      </c>
      <c r="E143" s="3"/>
      <c r="F143" s="81"/>
      <c r="H143" s="72"/>
      <c r="I143" s="72"/>
      <c r="J143" s="40" t="s">
        <v>260</v>
      </c>
      <c r="K143" s="48" t="s">
        <v>269</v>
      </c>
      <c r="L143" s="81"/>
      <c r="M143" s="81"/>
      <c r="N143" s="81"/>
      <c r="O143" s="83"/>
    </row>
    <row r="144">
      <c r="A144" s="39">
        <v>132.0</v>
      </c>
      <c r="B144" s="79" t="s">
        <v>195</v>
      </c>
      <c r="C144" s="72" t="s">
        <v>20</v>
      </c>
      <c r="D144" s="72" t="s">
        <v>217</v>
      </c>
      <c r="E144" s="3"/>
      <c r="F144" s="81"/>
      <c r="H144" s="72"/>
      <c r="I144" s="72"/>
      <c r="J144" s="40" t="s">
        <v>260</v>
      </c>
      <c r="K144" s="48" t="s">
        <v>269</v>
      </c>
      <c r="L144" s="81"/>
      <c r="M144" s="81"/>
      <c r="N144" s="81"/>
      <c r="O144" s="83"/>
    </row>
    <row r="145" hidden="1">
      <c r="A145" s="39">
        <v>133.0</v>
      </c>
      <c r="B145" s="79" t="s">
        <v>195</v>
      </c>
      <c r="C145" s="72" t="s">
        <v>20</v>
      </c>
      <c r="D145" s="72" t="s">
        <v>218</v>
      </c>
      <c r="E145" s="3"/>
      <c r="F145" s="72">
        <v>4.0</v>
      </c>
      <c r="H145" s="72"/>
      <c r="I145" s="72"/>
      <c r="J145" s="40" t="s">
        <v>266</v>
      </c>
      <c r="K145" s="48" t="s">
        <v>269</v>
      </c>
      <c r="L145" s="81"/>
      <c r="M145" s="81"/>
      <c r="N145" s="81"/>
      <c r="O145" s="83"/>
    </row>
    <row r="146" hidden="1">
      <c r="A146" s="39">
        <v>134.0</v>
      </c>
      <c r="B146" s="79" t="s">
        <v>195</v>
      </c>
      <c r="C146" s="84" t="s">
        <v>20</v>
      </c>
      <c r="D146" s="84" t="s">
        <v>219</v>
      </c>
      <c r="E146" s="147" t="s">
        <v>335</v>
      </c>
      <c r="F146" s="86"/>
      <c r="H146" s="84"/>
      <c r="I146" s="84"/>
      <c r="J146" s="40" t="s">
        <v>280</v>
      </c>
      <c r="K146" s="48" t="s">
        <v>269</v>
      </c>
      <c r="L146" s="86"/>
      <c r="M146" s="86"/>
      <c r="N146" s="86"/>
      <c r="O146" s="87"/>
    </row>
    <row r="147" hidden="1">
      <c r="A147" s="39">
        <v>135.0</v>
      </c>
      <c r="B147" s="88" t="s">
        <v>220</v>
      </c>
      <c r="C147" s="89"/>
      <c r="D147" s="89"/>
      <c r="E147" s="3"/>
      <c r="F147" s="91"/>
      <c r="H147" s="89"/>
      <c r="I147" s="89"/>
      <c r="J147" s="40" t="s">
        <v>283</v>
      </c>
      <c r="K147" s="48" t="s">
        <v>277</v>
      </c>
      <c r="L147" s="91"/>
      <c r="M147" s="91"/>
      <c r="N147" s="91"/>
      <c r="O147" s="92"/>
    </row>
    <row r="148" hidden="1">
      <c r="A148" s="39">
        <v>136.0</v>
      </c>
      <c r="B148" s="88" t="s">
        <v>220</v>
      </c>
      <c r="C148" s="89" t="s">
        <v>71</v>
      </c>
      <c r="D148" s="89" t="s">
        <v>222</v>
      </c>
      <c r="E148" s="149" t="s">
        <v>339</v>
      </c>
      <c r="F148" s="91"/>
      <c r="H148" s="89"/>
      <c r="I148" s="89"/>
      <c r="J148" s="40" t="s">
        <v>283</v>
      </c>
      <c r="K148" s="48" t="s">
        <v>263</v>
      </c>
      <c r="L148" s="91"/>
      <c r="M148" s="91"/>
      <c r="N148" s="91"/>
      <c r="O148" s="92"/>
    </row>
    <row r="149" hidden="1">
      <c r="A149" s="39">
        <v>137.0</v>
      </c>
      <c r="B149" s="88" t="s">
        <v>220</v>
      </c>
      <c r="C149" s="93" t="s">
        <v>20</v>
      </c>
      <c r="D149" s="93" t="s">
        <v>223</v>
      </c>
      <c r="E149" s="149" t="s">
        <v>339</v>
      </c>
      <c r="F149" s="95"/>
      <c r="H149" s="93"/>
      <c r="I149" s="93"/>
      <c r="J149" s="40" t="s">
        <v>283</v>
      </c>
      <c r="K149" s="48" t="s">
        <v>263</v>
      </c>
      <c r="L149" s="95"/>
      <c r="M149" s="95"/>
      <c r="N149" s="95"/>
      <c r="O149" s="96"/>
    </row>
    <row r="150">
      <c r="A150" s="39">
        <v>138.0</v>
      </c>
      <c r="B150" s="97" t="s">
        <v>224</v>
      </c>
      <c r="C150" s="98" t="s">
        <v>88</v>
      </c>
      <c r="D150" s="98" t="s">
        <v>225</v>
      </c>
      <c r="E150" s="3"/>
      <c r="F150" s="100"/>
      <c r="H150" s="98"/>
      <c r="I150" s="98"/>
      <c r="J150" s="40" t="s">
        <v>260</v>
      </c>
      <c r="K150" s="48" t="s">
        <v>269</v>
      </c>
      <c r="L150" s="100"/>
      <c r="M150" s="100"/>
      <c r="N150" s="100"/>
      <c r="O150" s="101"/>
    </row>
    <row r="151">
      <c r="A151" s="39">
        <v>139.0</v>
      </c>
      <c r="B151" s="97" t="s">
        <v>226</v>
      </c>
      <c r="C151" s="98" t="s">
        <v>88</v>
      </c>
      <c r="D151" s="102" t="s">
        <v>227</v>
      </c>
      <c r="E151" s="3"/>
      <c r="F151" s="104"/>
      <c r="H151" s="102"/>
      <c r="I151" s="102"/>
      <c r="J151" s="40" t="s">
        <v>260</v>
      </c>
      <c r="K151" s="48" t="s">
        <v>269</v>
      </c>
      <c r="L151" s="104"/>
      <c r="M151" s="104"/>
      <c r="N151" s="104"/>
      <c r="O151" s="105"/>
    </row>
    <row r="152">
      <c r="A152" s="39">
        <v>140.0</v>
      </c>
      <c r="B152" s="106" t="s">
        <v>226</v>
      </c>
      <c r="C152" s="40" t="s">
        <v>71</v>
      </c>
      <c r="D152" s="40" t="s">
        <v>228</v>
      </c>
      <c r="E152" s="3"/>
      <c r="F152" s="40">
        <v>8.0</v>
      </c>
      <c r="H152" s="40"/>
      <c r="I152" s="40"/>
      <c r="J152" s="40" t="s">
        <v>260</v>
      </c>
      <c r="K152" s="48" t="s">
        <v>261</v>
      </c>
      <c r="L152" s="108"/>
      <c r="M152" s="108"/>
      <c r="N152" s="108"/>
      <c r="O152" s="45"/>
    </row>
    <row r="153">
      <c r="A153" s="39">
        <v>141.0</v>
      </c>
      <c r="B153" s="97" t="s">
        <v>229</v>
      </c>
      <c r="C153" s="98" t="s">
        <v>88</v>
      </c>
      <c r="D153" s="102" t="s">
        <v>227</v>
      </c>
      <c r="E153" s="3"/>
      <c r="F153" s="104"/>
      <c r="H153" s="102"/>
      <c r="I153" s="102"/>
      <c r="J153" s="40" t="s">
        <v>260</v>
      </c>
      <c r="K153" s="48" t="s">
        <v>269</v>
      </c>
      <c r="L153" s="104"/>
      <c r="M153" s="104"/>
      <c r="N153" s="104"/>
      <c r="O153" s="105"/>
    </row>
    <row r="154" hidden="1">
      <c r="A154" s="39">
        <v>142.0</v>
      </c>
      <c r="B154" s="106" t="s">
        <v>229</v>
      </c>
      <c r="C154" s="40" t="s">
        <v>71</v>
      </c>
      <c r="D154" s="40" t="s">
        <v>230</v>
      </c>
      <c r="E154" s="3"/>
      <c r="F154" s="40">
        <v>4.0</v>
      </c>
      <c r="H154" s="40" t="s">
        <v>231</v>
      </c>
      <c r="I154" s="40"/>
      <c r="J154" s="40" t="s">
        <v>266</v>
      </c>
      <c r="K154" s="48" t="s">
        <v>261</v>
      </c>
      <c r="L154" s="108"/>
      <c r="M154" s="108"/>
      <c r="N154" s="108"/>
      <c r="O154" s="45"/>
    </row>
    <row r="155">
      <c r="A155" s="39">
        <v>143.0</v>
      </c>
      <c r="B155" s="109" t="s">
        <v>232</v>
      </c>
      <c r="C155" s="102" t="s">
        <v>88</v>
      </c>
      <c r="D155" s="102" t="s">
        <v>233</v>
      </c>
      <c r="E155" s="3"/>
      <c r="F155" s="104"/>
      <c r="H155" s="102"/>
      <c r="I155" s="102"/>
      <c r="J155" s="40" t="s">
        <v>260</v>
      </c>
      <c r="K155" s="48" t="s">
        <v>269</v>
      </c>
      <c r="L155" s="104"/>
      <c r="M155" s="104"/>
      <c r="N155" s="104"/>
      <c r="O155" s="105"/>
    </row>
    <row r="156">
      <c r="A156" s="39">
        <v>144.0</v>
      </c>
      <c r="B156" s="39" t="s">
        <v>232</v>
      </c>
      <c r="C156" s="40" t="s">
        <v>20</v>
      </c>
      <c r="D156" s="40" t="s">
        <v>234</v>
      </c>
      <c r="E156" s="118" t="s">
        <v>340</v>
      </c>
      <c r="F156" s="40">
        <v>2.0</v>
      </c>
      <c r="H156" s="40"/>
      <c r="I156" s="40"/>
      <c r="J156" s="40" t="s">
        <v>260</v>
      </c>
      <c r="K156" s="48" t="s">
        <v>341</v>
      </c>
      <c r="L156" s="108"/>
      <c r="M156" s="108"/>
      <c r="N156" s="108"/>
      <c r="O156" s="45"/>
    </row>
    <row r="157">
      <c r="A157" s="39">
        <v>145.0</v>
      </c>
      <c r="B157" s="39" t="s">
        <v>232</v>
      </c>
      <c r="C157" s="40" t="s">
        <v>20</v>
      </c>
      <c r="D157" s="40" t="s">
        <v>235</v>
      </c>
      <c r="E157" s="3"/>
      <c r="F157" s="40">
        <v>2.0</v>
      </c>
      <c r="H157" s="40"/>
      <c r="I157" s="40"/>
      <c r="J157" s="40" t="s">
        <v>260</v>
      </c>
      <c r="K157" s="48" t="s">
        <v>269</v>
      </c>
      <c r="L157" s="108"/>
      <c r="M157" s="108"/>
      <c r="N157" s="108"/>
      <c r="O157" s="41"/>
    </row>
    <row r="158">
      <c r="A158" s="39">
        <v>146.0</v>
      </c>
      <c r="B158" s="39" t="s">
        <v>232</v>
      </c>
      <c r="C158" s="40" t="s">
        <v>20</v>
      </c>
      <c r="D158" s="40" t="s">
        <v>236</v>
      </c>
      <c r="E158" s="3"/>
      <c r="F158" s="40">
        <v>4.0</v>
      </c>
      <c r="H158" s="40"/>
      <c r="I158" s="40"/>
      <c r="J158" s="40" t="s">
        <v>260</v>
      </c>
      <c r="K158" s="48" t="s">
        <v>262</v>
      </c>
      <c r="L158" s="108"/>
      <c r="M158" s="108"/>
      <c r="N158" s="108"/>
      <c r="O158" s="41"/>
    </row>
    <row r="159">
      <c r="A159" s="39">
        <v>147.0</v>
      </c>
      <c r="B159" s="39" t="s">
        <v>232</v>
      </c>
      <c r="C159" s="40" t="s">
        <v>20</v>
      </c>
      <c r="D159" s="40" t="s">
        <v>237</v>
      </c>
      <c r="E159" s="3"/>
      <c r="F159" s="40">
        <v>2.0</v>
      </c>
      <c r="H159" s="40"/>
      <c r="I159" s="40"/>
      <c r="J159" s="40" t="s">
        <v>260</v>
      </c>
      <c r="K159" s="48" t="s">
        <v>261</v>
      </c>
      <c r="L159" s="108"/>
      <c r="M159" s="108"/>
      <c r="N159" s="108"/>
      <c r="O159" s="41"/>
    </row>
    <row r="160">
      <c r="A160" s="39">
        <v>148.0</v>
      </c>
      <c r="B160" s="39" t="s">
        <v>232</v>
      </c>
      <c r="C160" s="40" t="s">
        <v>71</v>
      </c>
      <c r="D160" s="40" t="s">
        <v>238</v>
      </c>
      <c r="E160" s="3"/>
      <c r="F160" s="40">
        <v>6.0</v>
      </c>
      <c r="H160" s="40"/>
      <c r="I160" s="40"/>
      <c r="J160" s="40" t="s">
        <v>260</v>
      </c>
      <c r="K160" s="48" t="s">
        <v>263</v>
      </c>
      <c r="L160" s="108"/>
      <c r="M160" s="108"/>
      <c r="N160" s="108"/>
      <c r="O160" s="41"/>
    </row>
    <row r="161">
      <c r="A161" s="39">
        <v>149.0</v>
      </c>
      <c r="B161" s="39" t="s">
        <v>232</v>
      </c>
      <c r="C161" s="40" t="s">
        <v>71</v>
      </c>
      <c r="D161" s="40" t="s">
        <v>239</v>
      </c>
      <c r="E161" s="3"/>
      <c r="F161" s="40">
        <v>16.0</v>
      </c>
      <c r="H161" s="40"/>
      <c r="I161" s="40"/>
      <c r="J161" s="40" t="s">
        <v>260</v>
      </c>
      <c r="K161" s="48" t="s">
        <v>261</v>
      </c>
      <c r="L161" s="108"/>
      <c r="M161" s="108"/>
      <c r="N161" s="108"/>
      <c r="O161" s="41"/>
    </row>
    <row r="162">
      <c r="A162" s="39">
        <v>150.0</v>
      </c>
      <c r="B162" s="39" t="s">
        <v>232</v>
      </c>
      <c r="C162" s="40" t="s">
        <v>71</v>
      </c>
      <c r="D162" s="40" t="s">
        <v>240</v>
      </c>
      <c r="E162" s="3"/>
      <c r="F162" s="40">
        <v>8.0</v>
      </c>
      <c r="H162" s="40"/>
      <c r="I162" s="40"/>
      <c r="J162" s="40" t="s">
        <v>260</v>
      </c>
      <c r="K162" s="48" t="s">
        <v>263</v>
      </c>
      <c r="L162" s="108"/>
      <c r="M162" s="108"/>
      <c r="N162" s="108"/>
      <c r="O162" s="41"/>
    </row>
    <row r="163">
      <c r="A163" s="39">
        <v>151.0</v>
      </c>
      <c r="B163" s="39" t="s">
        <v>232</v>
      </c>
      <c r="C163" s="40" t="s">
        <v>71</v>
      </c>
      <c r="D163" s="40" t="s">
        <v>241</v>
      </c>
      <c r="E163" s="3"/>
      <c r="F163" s="40">
        <v>2.0</v>
      </c>
      <c r="H163" s="40"/>
      <c r="I163" s="40"/>
      <c r="J163" s="40" t="s">
        <v>260</v>
      </c>
      <c r="K163" s="48" t="s">
        <v>341</v>
      </c>
      <c r="L163" s="108"/>
      <c r="M163" s="108"/>
      <c r="N163" s="108"/>
      <c r="O163" s="41"/>
    </row>
    <row r="164">
      <c r="A164" s="39">
        <v>152.0</v>
      </c>
      <c r="B164" s="39" t="s">
        <v>232</v>
      </c>
      <c r="C164" s="110" t="s">
        <v>71</v>
      </c>
      <c r="D164" s="110" t="s">
        <v>242</v>
      </c>
      <c r="E164" s="3"/>
      <c r="F164" s="110">
        <v>2.0</v>
      </c>
      <c r="H164" s="110"/>
      <c r="I164" s="110"/>
      <c r="J164" s="40" t="s">
        <v>260</v>
      </c>
      <c r="K164" s="48" t="s">
        <v>261</v>
      </c>
      <c r="L164" s="112"/>
      <c r="M164" s="112"/>
      <c r="N164" s="112"/>
      <c r="O164" s="113"/>
    </row>
    <row r="165" hidden="1">
      <c r="A165" s="39">
        <v>153.0</v>
      </c>
      <c r="B165" s="114" t="s">
        <v>243</v>
      </c>
      <c r="C165" s="98" t="s">
        <v>88</v>
      </c>
      <c r="D165" s="98" t="s">
        <v>233</v>
      </c>
      <c r="E165" s="3"/>
      <c r="F165" s="98">
        <v>16.0</v>
      </c>
      <c r="H165" s="98"/>
      <c r="I165" s="98"/>
      <c r="J165" s="40" t="s">
        <v>266</v>
      </c>
      <c r="K165" s="48" t="s">
        <v>269</v>
      </c>
      <c r="L165" s="100"/>
      <c r="M165" s="100"/>
      <c r="N165" s="100"/>
      <c r="O165" s="115"/>
    </row>
    <row r="166">
      <c r="A166" s="39">
        <v>154.0</v>
      </c>
      <c r="B166" s="117" t="s">
        <v>243</v>
      </c>
      <c r="C166" s="117" t="s">
        <v>71</v>
      </c>
      <c r="D166" s="118" t="s">
        <v>244</v>
      </c>
      <c r="E166" s="147" t="s">
        <v>297</v>
      </c>
      <c r="J166" s="40" t="s">
        <v>260</v>
      </c>
      <c r="K166" s="48" t="s">
        <v>261</v>
      </c>
    </row>
    <row r="167">
      <c r="A167" s="39">
        <v>155.0</v>
      </c>
      <c r="B167" s="106" t="s">
        <v>245</v>
      </c>
      <c r="C167" s="98" t="s">
        <v>88</v>
      </c>
      <c r="D167" s="98" t="s">
        <v>246</v>
      </c>
      <c r="E167" s="3"/>
      <c r="F167" s="119">
        <v>2.0</v>
      </c>
      <c r="H167" s="119"/>
      <c r="I167" s="119"/>
      <c r="J167" s="40" t="s">
        <v>260</v>
      </c>
      <c r="K167" s="48" t="s">
        <v>269</v>
      </c>
      <c r="L167" s="121"/>
      <c r="M167" s="121"/>
      <c r="N167" s="121"/>
      <c r="O167" s="122"/>
    </row>
    <row r="168">
      <c r="A168" s="39">
        <v>156.0</v>
      </c>
      <c r="B168" s="106" t="s">
        <v>247</v>
      </c>
      <c r="C168" s="119" t="s">
        <v>88</v>
      </c>
      <c r="D168" s="98" t="s">
        <v>248</v>
      </c>
      <c r="E168" s="3"/>
      <c r="F168" s="119">
        <v>16.0</v>
      </c>
      <c r="H168" s="119"/>
      <c r="I168" s="119"/>
      <c r="J168" s="40" t="s">
        <v>260</v>
      </c>
      <c r="K168" s="48" t="s">
        <v>269</v>
      </c>
      <c r="L168" s="121"/>
      <c r="M168" s="121"/>
      <c r="N168" s="121"/>
      <c r="O168" s="122"/>
    </row>
    <row r="169">
      <c r="A169" s="39">
        <v>157.0</v>
      </c>
      <c r="E169" s="3"/>
    </row>
    <row r="170">
      <c r="A170" s="39">
        <v>158.0</v>
      </c>
      <c r="B170" s="117" t="s">
        <v>342</v>
      </c>
      <c r="D170" s="118" t="s">
        <v>343</v>
      </c>
      <c r="F170" s="117">
        <v>50.0</v>
      </c>
    </row>
    <row r="171">
      <c r="A171" s="39">
        <v>159.0</v>
      </c>
      <c r="B171" s="117" t="s">
        <v>344</v>
      </c>
      <c r="D171" s="118" t="s">
        <v>345</v>
      </c>
      <c r="E171" s="3"/>
      <c r="F171" s="117">
        <v>20.0</v>
      </c>
    </row>
    <row r="172">
      <c r="A172" s="39">
        <v>160.0</v>
      </c>
      <c r="B172" s="117" t="s">
        <v>346</v>
      </c>
      <c r="D172" s="118" t="s">
        <v>347</v>
      </c>
      <c r="E172" s="3"/>
      <c r="F172" s="117">
        <v>24.0</v>
      </c>
    </row>
    <row r="173">
      <c r="A173" s="39">
        <v>161.0</v>
      </c>
      <c r="E173" s="3"/>
    </row>
    <row r="174">
      <c r="A174" s="39">
        <v>162.0</v>
      </c>
      <c r="B174" s="128" t="s">
        <v>249</v>
      </c>
      <c r="C174" s="129" t="s">
        <v>20</v>
      </c>
      <c r="D174" s="129" t="s">
        <v>250</v>
      </c>
      <c r="E174" s="3"/>
      <c r="F174" s="155">
        <f>SUM(F3:F173)</f>
        <v>2354</v>
      </c>
      <c r="H174" s="155">
        <f>F174/24</f>
        <v>98.08333333</v>
      </c>
    </row>
    <row r="175">
      <c r="A175" s="39">
        <v>163.0</v>
      </c>
      <c r="B175" s="128" t="s">
        <v>249</v>
      </c>
      <c r="C175" s="129" t="s">
        <v>20</v>
      </c>
      <c r="D175" s="129" t="s">
        <v>251</v>
      </c>
      <c r="E175" s="3"/>
    </row>
    <row r="176">
      <c r="A176" s="39">
        <v>164.0</v>
      </c>
      <c r="B176" s="128" t="s">
        <v>249</v>
      </c>
      <c r="C176" s="129" t="s">
        <v>20</v>
      </c>
      <c r="D176" s="129" t="s">
        <v>252</v>
      </c>
      <c r="E176" s="3"/>
    </row>
    <row r="177">
      <c r="A177" s="39">
        <v>165.0</v>
      </c>
      <c r="B177" s="128" t="s">
        <v>249</v>
      </c>
      <c r="C177" s="129" t="s">
        <v>71</v>
      </c>
      <c r="D177" s="129" t="s">
        <v>253</v>
      </c>
      <c r="E177" s="3"/>
    </row>
    <row r="178">
      <c r="A178" s="39">
        <v>166.0</v>
      </c>
      <c r="B178" s="128" t="s">
        <v>249</v>
      </c>
      <c r="C178" s="129" t="s">
        <v>20</v>
      </c>
      <c r="D178" s="129" t="s">
        <v>254</v>
      </c>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row r="1001">
      <c r="E1001" s="3"/>
    </row>
    <row r="1002">
      <c r="E1002" s="3"/>
    </row>
    <row r="1003">
      <c r="E1003" s="3"/>
    </row>
    <row r="1004">
      <c r="E1004" s="3"/>
    </row>
    <row r="1005">
      <c r="E1005" s="3"/>
    </row>
    <row r="1006">
      <c r="E1006" s="3"/>
    </row>
    <row r="1007">
      <c r="E1007" s="3"/>
    </row>
    <row r="1008">
      <c r="E1008" s="3"/>
    </row>
    <row r="1009">
      <c r="E1009" s="3"/>
    </row>
    <row r="1010">
      <c r="E1010" s="3"/>
    </row>
    <row r="1011">
      <c r="E1011" s="3"/>
    </row>
    <row r="1012">
      <c r="E1012" s="3"/>
    </row>
  </sheetData>
  <autoFilter ref="$B$2:$Z$168">
    <filterColumn colId="8">
      <filters>
        <filter val="Must"/>
      </filters>
    </filterColumn>
  </autoFilter>
  <mergeCells count="5">
    <mergeCell ref="F43:F46"/>
    <mergeCell ref="E48:E55"/>
    <mergeCell ref="F84:F85"/>
    <mergeCell ref="F99:F100"/>
    <mergeCell ref="F101:F103"/>
  </mergeCells>
  <dataValidations>
    <dataValidation type="list" allowBlank="1" showErrorMessage="1" sqref="K3:K9 K11 K13:K168">
      <formula1>"база данных,интеграция с платежной системой,автоматические уведомления без сложной логики,AI-аналитика,администрирование,эскалация,интеграция с ТГ,другое,интерфейс"</formula1>
    </dataValidation>
    <dataValidation type="list" allowBlank="1" showErrorMessage="1" sqref="J3:J168">
      <formula1>"уже умеет,50/50,Must,Unic,Excite,Features,Eco"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5"/>
    <col customWidth="1" min="2" max="2" width="23.0"/>
    <col customWidth="1" min="3" max="3" width="80.0"/>
    <col customWidth="1" min="4" max="4" width="17.5"/>
    <col customWidth="1" min="5" max="5" width="25.38"/>
    <col customWidth="1" min="6" max="6" width="34.38"/>
    <col customWidth="1" min="7" max="7" width="28.88"/>
    <col customWidth="1" min="8" max="8" width="18.25"/>
    <col customWidth="1" min="9" max="9" width="27.38"/>
    <col customWidth="1" min="10" max="11" width="34.0"/>
    <col customWidth="1" min="12" max="12" width="24.38"/>
  </cols>
  <sheetData>
    <row r="1" ht="106.5" customHeight="1">
      <c r="A1" s="1" t="s">
        <v>64</v>
      </c>
      <c r="B1" s="1" t="s">
        <v>9</v>
      </c>
      <c r="C1" s="1" t="s">
        <v>10</v>
      </c>
      <c r="D1" s="1" t="s">
        <v>11</v>
      </c>
      <c r="E1" s="1" t="s">
        <v>348</v>
      </c>
      <c r="F1" s="1" t="s">
        <v>12</v>
      </c>
      <c r="G1" s="1" t="s">
        <v>67</v>
      </c>
      <c r="H1" s="1" t="s">
        <v>14</v>
      </c>
      <c r="I1" s="1" t="s">
        <v>15</v>
      </c>
      <c r="J1" s="1" t="s">
        <v>16</v>
      </c>
      <c r="K1" s="1" t="s">
        <v>17</v>
      </c>
      <c r="L1" s="1" t="s">
        <v>68</v>
      </c>
      <c r="M1" s="3"/>
      <c r="N1" s="3"/>
      <c r="O1" s="3"/>
      <c r="P1" s="3"/>
      <c r="Q1" s="3"/>
      <c r="R1" s="3"/>
      <c r="S1" s="3"/>
      <c r="T1" s="3"/>
      <c r="U1" s="3"/>
      <c r="V1" s="3"/>
      <c r="W1" s="3"/>
      <c r="X1" s="3"/>
      <c r="Y1" s="3"/>
      <c r="Z1" s="3"/>
      <c r="AA1" s="3"/>
      <c r="AB1" s="3"/>
      <c r="AC1" s="3"/>
    </row>
    <row r="2">
      <c r="A2" s="4" t="s">
        <v>9</v>
      </c>
      <c r="B2" s="5" t="s">
        <v>10</v>
      </c>
      <c r="C2" s="6" t="s">
        <v>11</v>
      </c>
      <c r="D2" s="6" t="s">
        <v>69</v>
      </c>
      <c r="E2" s="6"/>
      <c r="F2" s="6" t="s">
        <v>12</v>
      </c>
      <c r="G2" s="6" t="s">
        <v>13</v>
      </c>
      <c r="H2" s="5" t="s">
        <v>14</v>
      </c>
      <c r="I2" s="5" t="s">
        <v>15</v>
      </c>
      <c r="J2" s="5" t="s">
        <v>16</v>
      </c>
      <c r="K2" s="5" t="s">
        <v>17</v>
      </c>
      <c r="L2" s="7" t="s">
        <v>19</v>
      </c>
    </row>
    <row r="3">
      <c r="A3" s="156" t="s">
        <v>349</v>
      </c>
      <c r="B3" s="157" t="s">
        <v>71</v>
      </c>
      <c r="C3" s="40" t="s">
        <v>72</v>
      </c>
      <c r="D3" s="157"/>
      <c r="E3" s="157"/>
      <c r="F3" s="157"/>
      <c r="G3" s="157"/>
      <c r="H3" s="157"/>
      <c r="I3" s="157"/>
      <c r="J3" s="157"/>
      <c r="K3" s="157"/>
      <c r="L3" s="158"/>
      <c r="M3" s="159"/>
      <c r="N3" s="159"/>
      <c r="O3" s="159"/>
      <c r="P3" s="159"/>
      <c r="Q3" s="159"/>
      <c r="R3" s="159"/>
      <c r="S3" s="159"/>
      <c r="T3" s="159"/>
      <c r="U3" s="159"/>
      <c r="V3" s="159"/>
      <c r="W3" s="159"/>
      <c r="X3" s="159"/>
      <c r="Y3" s="159"/>
      <c r="Z3" s="159"/>
      <c r="AA3" s="159"/>
      <c r="AB3" s="159"/>
      <c r="AC3" s="159"/>
    </row>
    <row r="4">
      <c r="A4" s="156" t="s">
        <v>349</v>
      </c>
      <c r="B4" s="157" t="s">
        <v>20</v>
      </c>
      <c r="C4" s="40" t="s">
        <v>350</v>
      </c>
      <c r="D4" s="157"/>
      <c r="E4" s="157"/>
      <c r="F4" s="157"/>
      <c r="G4" s="157"/>
      <c r="H4" s="157"/>
      <c r="I4" s="157"/>
      <c r="J4" s="157"/>
      <c r="K4" s="157"/>
      <c r="L4" s="158"/>
      <c r="M4" s="159"/>
      <c r="N4" s="159"/>
      <c r="O4" s="159"/>
      <c r="P4" s="159"/>
      <c r="Q4" s="159"/>
      <c r="R4" s="159"/>
      <c r="S4" s="159"/>
      <c r="T4" s="159"/>
      <c r="U4" s="159"/>
      <c r="V4" s="159"/>
      <c r="W4" s="159"/>
      <c r="X4" s="159"/>
      <c r="Y4" s="159"/>
      <c r="Z4" s="159"/>
      <c r="AA4" s="159"/>
      <c r="AB4" s="159"/>
      <c r="AC4" s="159"/>
    </row>
    <row r="5">
      <c r="A5" s="156" t="s">
        <v>349</v>
      </c>
      <c r="B5" s="157" t="s">
        <v>20</v>
      </c>
      <c r="C5" s="40" t="s">
        <v>351</v>
      </c>
      <c r="D5" s="157"/>
      <c r="E5" s="157"/>
      <c r="F5" s="157"/>
      <c r="G5" s="157"/>
      <c r="H5" s="157"/>
      <c r="I5" s="157"/>
      <c r="J5" s="157"/>
      <c r="K5" s="157"/>
      <c r="L5" s="158"/>
      <c r="M5" s="159"/>
      <c r="N5" s="159"/>
      <c r="O5" s="159"/>
      <c r="P5" s="159"/>
      <c r="Q5" s="159"/>
      <c r="R5" s="159"/>
      <c r="S5" s="159"/>
      <c r="T5" s="159"/>
      <c r="U5" s="159"/>
      <c r="V5" s="159"/>
      <c r="W5" s="159"/>
      <c r="X5" s="159"/>
      <c r="Y5" s="159"/>
      <c r="Z5" s="159"/>
      <c r="AA5" s="159"/>
      <c r="AB5" s="159"/>
      <c r="AC5" s="159"/>
    </row>
    <row r="6">
      <c r="A6" s="156" t="s">
        <v>349</v>
      </c>
      <c r="B6" s="160" t="s">
        <v>71</v>
      </c>
      <c r="C6" s="42" t="s">
        <v>352</v>
      </c>
      <c r="D6" s="157" t="s">
        <v>353</v>
      </c>
      <c r="E6" s="157" t="s">
        <v>354</v>
      </c>
      <c r="F6" s="157"/>
      <c r="G6" s="157"/>
      <c r="H6" s="157"/>
      <c r="I6" s="157"/>
      <c r="J6" s="157"/>
      <c r="K6" s="157"/>
      <c r="L6" s="158"/>
      <c r="M6" s="159"/>
      <c r="N6" s="159"/>
      <c r="O6" s="159"/>
      <c r="P6" s="159"/>
      <c r="Q6" s="159"/>
      <c r="R6" s="159"/>
      <c r="S6" s="159"/>
      <c r="T6" s="159"/>
      <c r="U6" s="159"/>
      <c r="V6" s="159"/>
      <c r="W6" s="159"/>
      <c r="X6" s="159"/>
      <c r="Y6" s="159"/>
      <c r="Z6" s="159"/>
      <c r="AA6" s="159"/>
      <c r="AB6" s="159"/>
      <c r="AC6" s="159"/>
    </row>
    <row r="7">
      <c r="A7" s="156" t="s">
        <v>349</v>
      </c>
      <c r="B7" s="160" t="s">
        <v>71</v>
      </c>
      <c r="C7" s="42" t="s">
        <v>355</v>
      </c>
      <c r="D7" s="157"/>
      <c r="E7" s="157"/>
      <c r="F7" s="157"/>
      <c r="G7" s="157"/>
      <c r="H7" s="157"/>
      <c r="I7" s="157"/>
      <c r="J7" s="157"/>
      <c r="K7" s="157"/>
      <c r="L7" s="158"/>
      <c r="M7" s="159"/>
      <c r="N7" s="159"/>
      <c r="O7" s="159"/>
      <c r="P7" s="159"/>
      <c r="Q7" s="159"/>
      <c r="R7" s="159"/>
      <c r="S7" s="159"/>
      <c r="T7" s="159"/>
      <c r="U7" s="159"/>
      <c r="V7" s="159"/>
      <c r="W7" s="159"/>
      <c r="X7" s="159"/>
      <c r="Y7" s="159"/>
      <c r="Z7" s="159"/>
      <c r="AA7" s="159"/>
      <c r="AB7" s="159"/>
      <c r="AC7" s="159"/>
    </row>
    <row r="8">
      <c r="A8" s="156" t="s">
        <v>349</v>
      </c>
      <c r="B8" s="160" t="s">
        <v>71</v>
      </c>
      <c r="C8" s="42" t="s">
        <v>356</v>
      </c>
      <c r="D8" s="157"/>
      <c r="E8" s="157"/>
      <c r="F8" s="157"/>
      <c r="G8" s="157"/>
      <c r="H8" s="157"/>
      <c r="I8" s="157"/>
      <c r="J8" s="157"/>
      <c r="K8" s="157"/>
      <c r="L8" s="158"/>
      <c r="M8" s="159"/>
      <c r="N8" s="159"/>
      <c r="O8" s="159"/>
      <c r="P8" s="159"/>
      <c r="Q8" s="159"/>
      <c r="R8" s="159"/>
      <c r="S8" s="159"/>
      <c r="T8" s="159"/>
      <c r="U8" s="159"/>
      <c r="V8" s="159"/>
      <c r="W8" s="159"/>
      <c r="X8" s="159"/>
      <c r="Y8" s="159"/>
      <c r="Z8" s="159"/>
      <c r="AA8" s="159"/>
      <c r="AB8" s="159"/>
      <c r="AC8" s="159"/>
    </row>
    <row r="9">
      <c r="A9" s="156" t="s">
        <v>349</v>
      </c>
      <c r="B9" s="160" t="s">
        <v>20</v>
      </c>
      <c r="C9" s="42" t="s">
        <v>357</v>
      </c>
      <c r="D9" s="157"/>
      <c r="E9" s="157"/>
      <c r="F9" s="157"/>
      <c r="G9" s="157"/>
      <c r="H9" s="157"/>
      <c r="I9" s="157"/>
      <c r="J9" s="157"/>
      <c r="K9" s="157"/>
      <c r="L9" s="161"/>
      <c r="M9" s="159"/>
      <c r="N9" s="159"/>
      <c r="O9" s="159"/>
      <c r="P9" s="159"/>
      <c r="Q9" s="159"/>
      <c r="R9" s="159"/>
      <c r="S9" s="159"/>
      <c r="T9" s="159"/>
      <c r="U9" s="159"/>
      <c r="V9" s="159"/>
      <c r="W9" s="159"/>
      <c r="X9" s="159"/>
      <c r="Y9" s="159"/>
      <c r="Z9" s="159"/>
      <c r="AA9" s="159"/>
      <c r="AB9" s="159"/>
      <c r="AC9" s="159"/>
    </row>
    <row r="10">
      <c r="A10" s="156"/>
      <c r="B10" s="160"/>
      <c r="C10" s="42"/>
      <c r="D10" s="157"/>
      <c r="E10" s="157"/>
      <c r="F10" s="157"/>
      <c r="G10" s="157"/>
      <c r="H10" s="157"/>
      <c r="I10" s="157"/>
      <c r="J10" s="157"/>
      <c r="K10" s="157"/>
      <c r="L10" s="161"/>
      <c r="M10" s="159"/>
      <c r="N10" s="159"/>
      <c r="O10" s="159"/>
      <c r="P10" s="159"/>
      <c r="Q10" s="159"/>
      <c r="R10" s="159"/>
      <c r="S10" s="159"/>
      <c r="T10" s="159"/>
      <c r="U10" s="159"/>
      <c r="V10" s="159"/>
      <c r="W10" s="159"/>
      <c r="X10" s="159"/>
      <c r="Y10" s="159"/>
      <c r="Z10" s="159"/>
      <c r="AA10" s="159"/>
      <c r="AB10" s="159"/>
      <c r="AC10" s="159"/>
    </row>
    <row r="11">
      <c r="A11" s="156" t="s">
        <v>349</v>
      </c>
      <c r="B11" s="160" t="s">
        <v>20</v>
      </c>
      <c r="C11" s="42" t="s">
        <v>358</v>
      </c>
      <c r="D11" s="157"/>
      <c r="E11" s="157"/>
      <c r="F11" s="157"/>
      <c r="G11" s="157"/>
      <c r="H11" s="157"/>
      <c r="I11" s="157"/>
      <c r="J11" s="157"/>
      <c r="K11" s="157"/>
      <c r="L11" s="161"/>
      <c r="M11" s="159"/>
      <c r="N11" s="159"/>
      <c r="O11" s="159"/>
      <c r="P11" s="159"/>
      <c r="Q11" s="159"/>
      <c r="R11" s="159"/>
      <c r="S11" s="159"/>
      <c r="T11" s="159"/>
      <c r="U11" s="159"/>
      <c r="V11" s="159"/>
      <c r="W11" s="159"/>
      <c r="X11" s="159"/>
      <c r="Y11" s="159"/>
      <c r="Z11" s="159"/>
      <c r="AA11" s="159"/>
      <c r="AB11" s="159"/>
      <c r="AC11" s="159"/>
    </row>
    <row r="12">
      <c r="A12" s="162" t="s">
        <v>349</v>
      </c>
      <c r="B12" s="163" t="s">
        <v>20</v>
      </c>
      <c r="C12" s="42" t="s">
        <v>81</v>
      </c>
      <c r="D12" s="157" t="s">
        <v>359</v>
      </c>
      <c r="E12" s="157"/>
      <c r="F12" s="157"/>
      <c r="G12" s="157"/>
      <c r="H12" s="157"/>
      <c r="I12" s="157"/>
      <c r="J12" s="157"/>
      <c r="K12" s="157"/>
      <c r="L12" s="164"/>
      <c r="M12" s="159"/>
      <c r="N12" s="159"/>
      <c r="O12" s="159"/>
      <c r="P12" s="159"/>
      <c r="Q12" s="159"/>
      <c r="R12" s="159"/>
      <c r="S12" s="159"/>
      <c r="T12" s="159"/>
      <c r="U12" s="159"/>
      <c r="V12" s="159"/>
      <c r="W12" s="159"/>
      <c r="X12" s="159"/>
      <c r="Y12" s="159"/>
      <c r="Z12" s="159"/>
      <c r="AA12" s="159"/>
      <c r="AB12" s="159"/>
      <c r="AC12" s="159"/>
    </row>
    <row r="13">
      <c r="A13" s="156" t="s">
        <v>349</v>
      </c>
      <c r="B13" s="160" t="s">
        <v>20</v>
      </c>
      <c r="C13" s="42" t="s">
        <v>360</v>
      </c>
      <c r="D13" s="157"/>
      <c r="E13" s="157"/>
      <c r="F13" s="157"/>
      <c r="G13" s="157"/>
      <c r="H13" s="157"/>
      <c r="I13" s="157"/>
      <c r="J13" s="157"/>
      <c r="K13" s="157"/>
      <c r="L13" s="161"/>
      <c r="M13" s="159"/>
      <c r="N13" s="159"/>
      <c r="O13" s="159"/>
      <c r="P13" s="159"/>
      <c r="Q13" s="159"/>
      <c r="R13" s="159"/>
      <c r="S13" s="159"/>
      <c r="T13" s="159"/>
      <c r="U13" s="159"/>
      <c r="V13" s="159"/>
      <c r="W13" s="159"/>
      <c r="X13" s="159"/>
      <c r="Y13" s="159"/>
      <c r="Z13" s="159"/>
      <c r="AA13" s="159"/>
      <c r="AB13" s="159"/>
      <c r="AC13" s="159"/>
    </row>
    <row r="14">
      <c r="A14" s="156" t="s">
        <v>349</v>
      </c>
      <c r="B14" s="160" t="s">
        <v>20</v>
      </c>
      <c r="C14" s="42" t="s">
        <v>86</v>
      </c>
      <c r="D14" s="157"/>
      <c r="E14" s="157"/>
      <c r="F14" s="157"/>
      <c r="G14" s="157"/>
      <c r="H14" s="157"/>
      <c r="I14" s="157"/>
      <c r="J14" s="157"/>
      <c r="K14" s="157"/>
      <c r="L14" s="161"/>
      <c r="M14" s="159"/>
      <c r="N14" s="159"/>
      <c r="O14" s="159"/>
      <c r="P14" s="159"/>
      <c r="Q14" s="159"/>
      <c r="R14" s="159"/>
      <c r="S14" s="159"/>
      <c r="T14" s="159"/>
      <c r="U14" s="159"/>
      <c r="V14" s="159"/>
      <c r="W14" s="159"/>
      <c r="X14" s="159"/>
      <c r="Y14" s="159"/>
      <c r="Z14" s="159"/>
      <c r="AA14" s="159"/>
      <c r="AB14" s="159"/>
      <c r="AC14" s="159"/>
    </row>
    <row r="15">
      <c r="A15" s="165" t="s">
        <v>87</v>
      </c>
      <c r="B15" s="166" t="s">
        <v>20</v>
      </c>
      <c r="C15" s="48" t="s">
        <v>90</v>
      </c>
      <c r="D15" s="48" t="s">
        <v>361</v>
      </c>
      <c r="E15" s="166" t="s">
        <v>362</v>
      </c>
      <c r="F15" s="166"/>
      <c r="G15" s="167"/>
      <c r="H15" s="168"/>
      <c r="I15" s="168"/>
      <c r="J15" s="168"/>
      <c r="K15" s="168"/>
      <c r="L15" s="169"/>
      <c r="M15" s="170"/>
      <c r="N15" s="170"/>
      <c r="O15" s="170"/>
      <c r="P15" s="170"/>
      <c r="Q15" s="170"/>
      <c r="R15" s="170"/>
      <c r="S15" s="170"/>
      <c r="T15" s="170"/>
      <c r="U15" s="170"/>
      <c r="V15" s="170"/>
      <c r="W15" s="170"/>
      <c r="X15" s="170"/>
      <c r="Y15" s="170"/>
      <c r="Z15" s="170"/>
      <c r="AA15" s="170"/>
      <c r="AB15" s="170"/>
      <c r="AC15" s="170"/>
    </row>
    <row r="16">
      <c r="A16" s="165" t="s">
        <v>87</v>
      </c>
      <c r="B16" s="166" t="s">
        <v>20</v>
      </c>
      <c r="C16" s="48" t="s">
        <v>91</v>
      </c>
      <c r="D16" s="48"/>
      <c r="E16" s="166"/>
      <c r="F16" s="166"/>
      <c r="G16" s="167"/>
      <c r="H16" s="168"/>
      <c r="I16" s="168"/>
      <c r="J16" s="168"/>
      <c r="K16" s="168"/>
      <c r="L16" s="169"/>
      <c r="M16" s="170"/>
      <c r="N16" s="170"/>
      <c r="O16" s="170"/>
      <c r="P16" s="170"/>
      <c r="Q16" s="170"/>
      <c r="R16" s="170"/>
      <c r="S16" s="170"/>
      <c r="T16" s="170"/>
      <c r="U16" s="170"/>
      <c r="V16" s="170"/>
      <c r="W16" s="170"/>
      <c r="X16" s="170"/>
      <c r="Y16" s="170"/>
      <c r="Z16" s="170"/>
      <c r="AA16" s="170"/>
      <c r="AB16" s="170"/>
      <c r="AC16" s="170"/>
    </row>
    <row r="17">
      <c r="A17" s="165" t="s">
        <v>87</v>
      </c>
      <c r="B17" s="166" t="s">
        <v>20</v>
      </c>
      <c r="C17" s="48" t="s">
        <v>92</v>
      </c>
      <c r="D17" s="48"/>
      <c r="E17" s="166" t="s">
        <v>363</v>
      </c>
      <c r="F17" s="166"/>
      <c r="G17" s="167"/>
      <c r="H17" s="168"/>
      <c r="I17" s="168"/>
      <c r="J17" s="168"/>
      <c r="K17" s="168"/>
      <c r="L17" s="169"/>
      <c r="M17" s="170"/>
      <c r="N17" s="170"/>
      <c r="O17" s="170"/>
      <c r="P17" s="170"/>
      <c r="Q17" s="170"/>
      <c r="R17" s="170"/>
      <c r="S17" s="170"/>
      <c r="T17" s="170"/>
      <c r="U17" s="170"/>
      <c r="V17" s="170"/>
      <c r="W17" s="170"/>
      <c r="X17" s="170"/>
      <c r="Y17" s="170"/>
      <c r="Z17" s="170"/>
      <c r="AA17" s="170"/>
      <c r="AB17" s="170"/>
      <c r="AC17" s="170"/>
    </row>
    <row r="18">
      <c r="A18" s="165" t="s">
        <v>87</v>
      </c>
      <c r="B18" s="166" t="s">
        <v>20</v>
      </c>
      <c r="C18" s="48" t="s">
        <v>93</v>
      </c>
      <c r="D18" s="48"/>
      <c r="E18" s="166" t="s">
        <v>364</v>
      </c>
      <c r="F18" s="166"/>
      <c r="G18" s="167"/>
      <c r="H18" s="168"/>
      <c r="I18" s="168"/>
      <c r="J18" s="168"/>
      <c r="K18" s="168"/>
      <c r="L18" s="169"/>
      <c r="M18" s="170"/>
      <c r="N18" s="170"/>
      <c r="O18" s="170"/>
      <c r="P18" s="170"/>
      <c r="Q18" s="170"/>
      <c r="R18" s="170"/>
      <c r="S18" s="170"/>
      <c r="T18" s="170"/>
      <c r="U18" s="170"/>
      <c r="V18" s="170"/>
      <c r="W18" s="170"/>
      <c r="X18" s="170"/>
      <c r="Y18" s="170"/>
      <c r="Z18" s="170"/>
      <c r="AA18" s="170"/>
      <c r="AB18" s="170"/>
      <c r="AC18" s="170"/>
    </row>
    <row r="19">
      <c r="A19" s="165" t="s">
        <v>87</v>
      </c>
      <c r="B19" s="166" t="s">
        <v>20</v>
      </c>
      <c r="C19" s="48" t="s">
        <v>95</v>
      </c>
      <c r="D19" s="48"/>
      <c r="E19" s="166"/>
      <c r="F19" s="166"/>
      <c r="G19" s="167"/>
      <c r="H19" s="168"/>
      <c r="I19" s="168"/>
      <c r="J19" s="168"/>
      <c r="K19" s="168"/>
      <c r="L19" s="169"/>
      <c r="M19" s="170"/>
      <c r="N19" s="170"/>
      <c r="O19" s="170"/>
      <c r="P19" s="170"/>
      <c r="Q19" s="170"/>
      <c r="R19" s="170"/>
      <c r="S19" s="170"/>
      <c r="T19" s="170"/>
      <c r="U19" s="170"/>
      <c r="V19" s="170"/>
      <c r="W19" s="170"/>
      <c r="X19" s="170"/>
      <c r="Y19" s="170"/>
      <c r="Z19" s="170"/>
      <c r="AA19" s="170"/>
      <c r="AB19" s="170"/>
      <c r="AC19" s="170"/>
    </row>
    <row r="20">
      <c r="A20" s="165" t="s">
        <v>87</v>
      </c>
      <c r="B20" s="166" t="s">
        <v>20</v>
      </c>
      <c r="C20" s="48" t="s">
        <v>97</v>
      </c>
      <c r="D20" s="48" t="s">
        <v>98</v>
      </c>
      <c r="E20" s="166"/>
      <c r="F20" s="166"/>
      <c r="G20" s="167"/>
      <c r="H20" s="168"/>
      <c r="I20" s="168"/>
      <c r="J20" s="168"/>
      <c r="K20" s="168"/>
      <c r="L20" s="169"/>
      <c r="M20" s="170"/>
      <c r="N20" s="170"/>
      <c r="O20" s="170"/>
      <c r="P20" s="170"/>
      <c r="Q20" s="170"/>
      <c r="R20" s="170"/>
      <c r="S20" s="170"/>
      <c r="T20" s="170"/>
      <c r="U20" s="170"/>
      <c r="V20" s="170"/>
      <c r="W20" s="170"/>
      <c r="X20" s="170"/>
      <c r="Y20" s="170"/>
      <c r="Z20" s="170"/>
      <c r="AA20" s="170"/>
      <c r="AB20" s="170"/>
      <c r="AC20" s="170"/>
    </row>
    <row r="21">
      <c r="A21" s="165" t="s">
        <v>87</v>
      </c>
      <c r="B21" s="166" t="s">
        <v>20</v>
      </c>
      <c r="C21" s="48" t="s">
        <v>99</v>
      </c>
      <c r="D21" s="48"/>
      <c r="E21" s="166"/>
      <c r="F21" s="166"/>
      <c r="G21" s="167"/>
      <c r="H21" s="168"/>
      <c r="I21" s="168"/>
      <c r="J21" s="168"/>
      <c r="K21" s="168"/>
      <c r="L21" s="169"/>
      <c r="M21" s="170"/>
      <c r="N21" s="170"/>
      <c r="O21" s="170"/>
      <c r="P21" s="170"/>
      <c r="Q21" s="170"/>
      <c r="R21" s="170"/>
      <c r="S21" s="170"/>
      <c r="T21" s="170"/>
      <c r="U21" s="170"/>
      <c r="V21" s="170"/>
      <c r="W21" s="170"/>
      <c r="X21" s="170"/>
      <c r="Y21" s="170"/>
      <c r="Z21" s="170"/>
      <c r="AA21" s="170"/>
      <c r="AB21" s="170"/>
      <c r="AC21" s="170"/>
    </row>
    <row r="22">
      <c r="A22" s="165" t="s">
        <v>87</v>
      </c>
      <c r="B22" s="166" t="s">
        <v>20</v>
      </c>
      <c r="C22" s="48" t="s">
        <v>100</v>
      </c>
      <c r="D22" s="48"/>
      <c r="E22" s="166" t="s">
        <v>365</v>
      </c>
      <c r="F22" s="166"/>
      <c r="G22" s="167"/>
      <c r="H22" s="168"/>
      <c r="I22" s="168"/>
      <c r="J22" s="168"/>
      <c r="K22" s="168"/>
      <c r="L22" s="171"/>
      <c r="M22" s="170"/>
      <c r="N22" s="170"/>
      <c r="O22" s="170"/>
      <c r="P22" s="170"/>
      <c r="Q22" s="170"/>
      <c r="R22" s="170"/>
      <c r="S22" s="170"/>
      <c r="T22" s="170"/>
      <c r="U22" s="170"/>
      <c r="V22" s="170"/>
      <c r="W22" s="170"/>
      <c r="X22" s="170"/>
      <c r="Y22" s="170"/>
      <c r="Z22" s="170"/>
      <c r="AA22" s="170"/>
      <c r="AB22" s="170"/>
      <c r="AC22" s="170"/>
    </row>
    <row r="23">
      <c r="A23" s="165" t="s">
        <v>87</v>
      </c>
      <c r="B23" s="166" t="s">
        <v>20</v>
      </c>
      <c r="C23" s="48" t="s">
        <v>101</v>
      </c>
      <c r="D23" s="48"/>
      <c r="E23" s="166"/>
      <c r="F23" s="166"/>
      <c r="G23" s="167"/>
      <c r="H23" s="168"/>
      <c r="I23" s="168"/>
      <c r="J23" s="168"/>
      <c r="K23" s="168"/>
      <c r="L23" s="171"/>
      <c r="M23" s="170"/>
      <c r="N23" s="170"/>
      <c r="O23" s="170"/>
      <c r="P23" s="170"/>
      <c r="Q23" s="170"/>
      <c r="R23" s="170"/>
      <c r="S23" s="170"/>
      <c r="T23" s="170"/>
      <c r="U23" s="170"/>
      <c r="V23" s="170"/>
      <c r="W23" s="170"/>
      <c r="X23" s="170"/>
      <c r="Y23" s="170"/>
      <c r="Z23" s="170"/>
      <c r="AA23" s="170"/>
      <c r="AB23" s="170"/>
      <c r="AC23" s="170"/>
    </row>
    <row r="24">
      <c r="A24" s="165"/>
      <c r="B24" s="166"/>
      <c r="C24" s="48"/>
      <c r="D24" s="167"/>
      <c r="E24" s="167"/>
      <c r="F24" s="166"/>
      <c r="G24" s="167"/>
      <c r="H24" s="168"/>
      <c r="I24" s="168"/>
      <c r="J24" s="168"/>
      <c r="K24" s="168"/>
      <c r="L24" s="172"/>
      <c r="M24" s="170"/>
      <c r="N24" s="170"/>
      <c r="O24" s="170"/>
      <c r="P24" s="170"/>
      <c r="Q24" s="170"/>
      <c r="R24" s="170"/>
      <c r="S24" s="170"/>
      <c r="T24" s="170"/>
      <c r="U24" s="170"/>
      <c r="V24" s="170"/>
      <c r="W24" s="170"/>
      <c r="X24" s="170"/>
      <c r="Y24" s="170"/>
      <c r="Z24" s="170"/>
      <c r="AA24" s="170"/>
      <c r="AB24" s="170"/>
      <c r="AC24" s="170"/>
    </row>
    <row r="25">
      <c r="A25" s="165"/>
      <c r="B25" s="166"/>
      <c r="C25" s="48"/>
      <c r="D25" s="166"/>
      <c r="E25" s="166"/>
      <c r="F25" s="166"/>
      <c r="G25" s="167"/>
      <c r="H25" s="168"/>
      <c r="I25" s="168"/>
      <c r="J25" s="168"/>
      <c r="K25" s="168"/>
      <c r="L25" s="172"/>
      <c r="M25" s="170"/>
      <c r="N25" s="170"/>
      <c r="O25" s="170"/>
      <c r="P25" s="170"/>
      <c r="Q25" s="170"/>
      <c r="R25" s="170"/>
      <c r="S25" s="170"/>
      <c r="T25" s="170"/>
      <c r="U25" s="170"/>
      <c r="V25" s="170"/>
      <c r="W25" s="170"/>
      <c r="X25" s="170"/>
      <c r="Y25" s="170"/>
      <c r="Z25" s="170"/>
      <c r="AA25" s="170"/>
      <c r="AB25" s="170"/>
      <c r="AC25" s="170"/>
    </row>
    <row r="26">
      <c r="A26" s="165"/>
      <c r="B26" s="173"/>
      <c r="C26" s="55"/>
      <c r="D26" s="173"/>
      <c r="E26" s="173"/>
      <c r="F26" s="173"/>
      <c r="G26" s="174"/>
      <c r="H26" s="175"/>
      <c r="I26" s="175"/>
      <c r="J26" s="175"/>
      <c r="K26" s="175"/>
      <c r="L26" s="176"/>
      <c r="M26" s="177"/>
      <c r="N26" s="177"/>
      <c r="O26" s="177"/>
      <c r="P26" s="177"/>
      <c r="Q26" s="177"/>
      <c r="R26" s="177"/>
      <c r="S26" s="177"/>
      <c r="T26" s="177"/>
      <c r="U26" s="177"/>
      <c r="V26" s="177"/>
      <c r="W26" s="177"/>
      <c r="X26" s="177"/>
      <c r="Y26" s="177"/>
      <c r="Z26" s="177"/>
      <c r="AA26" s="177"/>
      <c r="AB26" s="177"/>
      <c r="AC26" s="177"/>
    </row>
    <row r="27">
      <c r="A27" s="165"/>
      <c r="B27" s="173"/>
      <c r="C27" s="55"/>
      <c r="D27" s="166"/>
      <c r="E27" s="166"/>
      <c r="F27" s="166"/>
      <c r="G27" s="167"/>
      <c r="H27" s="168"/>
      <c r="I27" s="168"/>
      <c r="J27" s="168"/>
      <c r="K27" s="168"/>
      <c r="L27" s="171"/>
      <c r="M27" s="170"/>
      <c r="N27" s="170"/>
      <c r="O27" s="170"/>
      <c r="P27" s="170"/>
      <c r="Q27" s="170"/>
      <c r="R27" s="170"/>
      <c r="S27" s="170"/>
      <c r="T27" s="170"/>
      <c r="U27" s="170"/>
      <c r="V27" s="170"/>
      <c r="W27" s="170"/>
      <c r="X27" s="170"/>
      <c r="Y27" s="170"/>
      <c r="Z27" s="170"/>
      <c r="AA27" s="170"/>
      <c r="AB27" s="170"/>
      <c r="AC27" s="170"/>
    </row>
    <row r="28">
      <c r="A28" s="178" t="s">
        <v>366</v>
      </c>
      <c r="B28" s="179" t="s">
        <v>20</v>
      </c>
      <c r="C28" s="62" t="s">
        <v>367</v>
      </c>
      <c r="D28" s="62"/>
      <c r="E28" s="62"/>
      <c r="F28" s="179"/>
      <c r="G28" s="180"/>
      <c r="H28" s="181"/>
      <c r="I28" s="181"/>
      <c r="J28" s="181"/>
      <c r="K28" s="181"/>
      <c r="L28" s="182"/>
      <c r="M28" s="183"/>
      <c r="N28" s="183"/>
      <c r="O28" s="183"/>
      <c r="P28" s="183"/>
      <c r="Q28" s="183"/>
      <c r="R28" s="183"/>
      <c r="S28" s="183"/>
      <c r="T28" s="183"/>
      <c r="U28" s="183"/>
      <c r="V28" s="183"/>
      <c r="W28" s="183"/>
      <c r="X28" s="183"/>
      <c r="Y28" s="183"/>
      <c r="Z28" s="183"/>
      <c r="AA28" s="183"/>
      <c r="AB28" s="183"/>
      <c r="AC28" s="183"/>
    </row>
    <row r="29">
      <c r="A29" s="178" t="s">
        <v>366</v>
      </c>
      <c r="B29" s="179" t="s">
        <v>20</v>
      </c>
      <c r="C29" s="62"/>
      <c r="D29" s="62"/>
      <c r="E29" s="62"/>
      <c r="F29" s="179"/>
      <c r="G29" s="180"/>
      <c r="H29" s="181"/>
      <c r="I29" s="181"/>
      <c r="J29" s="181"/>
      <c r="K29" s="181"/>
      <c r="L29" s="182"/>
      <c r="M29" s="183"/>
      <c r="N29" s="183"/>
      <c r="O29" s="183"/>
      <c r="P29" s="183"/>
      <c r="Q29" s="183"/>
      <c r="R29" s="183"/>
      <c r="S29" s="183"/>
      <c r="T29" s="183"/>
      <c r="U29" s="183"/>
      <c r="V29" s="183"/>
      <c r="W29" s="183"/>
      <c r="X29" s="183"/>
      <c r="Y29" s="183"/>
      <c r="Z29" s="183"/>
      <c r="AA29" s="183"/>
      <c r="AB29" s="183"/>
      <c r="AC29" s="183"/>
    </row>
    <row r="30">
      <c r="A30" s="178" t="s">
        <v>366</v>
      </c>
      <c r="B30" s="179" t="s">
        <v>20</v>
      </c>
      <c r="C30" s="62" t="s">
        <v>368</v>
      </c>
      <c r="D30" s="62"/>
      <c r="E30" s="62"/>
      <c r="F30" s="179"/>
      <c r="G30" s="180"/>
      <c r="H30" s="181"/>
      <c r="I30" s="181"/>
      <c r="J30" s="181"/>
      <c r="K30" s="181"/>
      <c r="L30" s="182"/>
      <c r="M30" s="183"/>
      <c r="N30" s="183"/>
      <c r="O30" s="183"/>
      <c r="P30" s="183"/>
      <c r="Q30" s="183"/>
      <c r="R30" s="183"/>
      <c r="S30" s="183"/>
      <c r="T30" s="183"/>
      <c r="U30" s="183"/>
      <c r="V30" s="183"/>
      <c r="W30" s="183"/>
      <c r="X30" s="183"/>
      <c r="Y30" s="183"/>
      <c r="Z30" s="183"/>
      <c r="AA30" s="183"/>
      <c r="AB30" s="183"/>
      <c r="AC30" s="183"/>
    </row>
    <row r="31">
      <c r="A31" s="178" t="s">
        <v>366</v>
      </c>
      <c r="B31" s="179" t="s">
        <v>20</v>
      </c>
      <c r="C31" s="62" t="s">
        <v>369</v>
      </c>
      <c r="D31" s="62"/>
      <c r="E31" s="62"/>
      <c r="F31" s="179"/>
      <c r="G31" s="180"/>
      <c r="H31" s="181"/>
      <c r="I31" s="181"/>
      <c r="J31" s="181"/>
      <c r="K31" s="181"/>
      <c r="L31" s="184"/>
      <c r="M31" s="183"/>
      <c r="N31" s="183"/>
      <c r="O31" s="183"/>
      <c r="P31" s="183"/>
      <c r="Q31" s="183"/>
      <c r="R31" s="183"/>
      <c r="S31" s="183"/>
      <c r="T31" s="183"/>
      <c r="U31" s="183"/>
      <c r="V31" s="183"/>
      <c r="W31" s="183"/>
      <c r="X31" s="183"/>
      <c r="Y31" s="183"/>
      <c r="Z31" s="183"/>
      <c r="AA31" s="183"/>
      <c r="AB31" s="183"/>
      <c r="AC31" s="183"/>
    </row>
    <row r="32">
      <c r="A32" s="178" t="s">
        <v>366</v>
      </c>
      <c r="B32" s="179" t="s">
        <v>20</v>
      </c>
      <c r="C32" s="62" t="s">
        <v>370</v>
      </c>
      <c r="D32" s="62"/>
      <c r="E32" s="62"/>
      <c r="F32" s="179"/>
      <c r="G32" s="180"/>
      <c r="H32" s="181"/>
      <c r="I32" s="181"/>
      <c r="J32" s="181"/>
      <c r="K32" s="181"/>
      <c r="L32" s="184"/>
      <c r="M32" s="183"/>
      <c r="N32" s="183"/>
      <c r="O32" s="183"/>
      <c r="P32" s="183"/>
      <c r="Q32" s="183"/>
      <c r="R32" s="183"/>
      <c r="S32" s="183"/>
      <c r="T32" s="183"/>
      <c r="U32" s="183"/>
      <c r="V32" s="183"/>
      <c r="W32" s="183"/>
      <c r="X32" s="183"/>
      <c r="Y32" s="183"/>
      <c r="Z32" s="183"/>
      <c r="AA32" s="183"/>
      <c r="AB32" s="183"/>
      <c r="AC32" s="183"/>
    </row>
    <row r="33">
      <c r="A33" s="178" t="s">
        <v>366</v>
      </c>
      <c r="B33" s="179" t="s">
        <v>20</v>
      </c>
      <c r="C33" s="62" t="s">
        <v>371</v>
      </c>
      <c r="D33" s="62"/>
      <c r="E33" s="62"/>
      <c r="F33" s="179"/>
      <c r="G33" s="180"/>
      <c r="H33" s="181"/>
      <c r="I33" s="181"/>
      <c r="J33" s="181"/>
      <c r="K33" s="181"/>
      <c r="L33" s="184"/>
      <c r="M33" s="183"/>
      <c r="N33" s="183"/>
      <c r="O33" s="183"/>
      <c r="P33" s="183"/>
      <c r="Q33" s="183"/>
      <c r="R33" s="183"/>
      <c r="S33" s="183"/>
      <c r="T33" s="183"/>
      <c r="U33" s="183"/>
      <c r="V33" s="183"/>
      <c r="W33" s="183"/>
      <c r="X33" s="183"/>
      <c r="Y33" s="183"/>
      <c r="Z33" s="183"/>
      <c r="AA33" s="183"/>
      <c r="AB33" s="183"/>
      <c r="AC33" s="183"/>
    </row>
    <row r="34">
      <c r="A34" s="178" t="s">
        <v>366</v>
      </c>
      <c r="B34" s="179" t="s">
        <v>20</v>
      </c>
      <c r="C34" s="62" t="s">
        <v>372</v>
      </c>
      <c r="D34" s="62"/>
      <c r="E34" s="62"/>
      <c r="F34" s="179"/>
      <c r="G34" s="180"/>
      <c r="H34" s="181"/>
      <c r="I34" s="181"/>
      <c r="J34" s="181"/>
      <c r="K34" s="181"/>
      <c r="L34" s="184"/>
      <c r="M34" s="183"/>
      <c r="N34" s="183"/>
      <c r="O34" s="183"/>
      <c r="P34" s="183"/>
      <c r="Q34" s="183"/>
      <c r="R34" s="183"/>
      <c r="S34" s="183"/>
      <c r="T34" s="183"/>
      <c r="U34" s="183"/>
      <c r="V34" s="183"/>
      <c r="W34" s="183"/>
      <c r="X34" s="183"/>
      <c r="Y34" s="183"/>
      <c r="Z34" s="183"/>
      <c r="AA34" s="183"/>
      <c r="AB34" s="183"/>
      <c r="AC34" s="183"/>
    </row>
    <row r="35">
      <c r="A35" s="178" t="s">
        <v>366</v>
      </c>
      <c r="B35" s="179" t="s">
        <v>20</v>
      </c>
      <c r="C35" s="62" t="s">
        <v>373</v>
      </c>
      <c r="D35" s="63"/>
      <c r="E35" s="63"/>
      <c r="F35" s="179"/>
      <c r="G35" s="180"/>
      <c r="H35" s="181"/>
      <c r="I35" s="181"/>
      <c r="J35" s="181"/>
      <c r="K35" s="181"/>
      <c r="L35" s="184"/>
      <c r="M35" s="183"/>
      <c r="N35" s="183"/>
      <c r="O35" s="183"/>
      <c r="P35" s="183"/>
      <c r="Q35" s="183"/>
      <c r="R35" s="183"/>
      <c r="S35" s="183"/>
      <c r="T35" s="183"/>
      <c r="U35" s="183"/>
      <c r="V35" s="183"/>
      <c r="W35" s="183"/>
      <c r="X35" s="183"/>
      <c r="Y35" s="183"/>
      <c r="Z35" s="183"/>
      <c r="AA35" s="183"/>
      <c r="AB35" s="183"/>
      <c r="AC35" s="183"/>
    </row>
    <row r="36">
      <c r="A36" s="178" t="s">
        <v>366</v>
      </c>
      <c r="B36" s="179" t="s">
        <v>20</v>
      </c>
      <c r="C36" s="62" t="s">
        <v>374</v>
      </c>
      <c r="D36" s="63"/>
      <c r="E36" s="63"/>
      <c r="F36" s="179"/>
      <c r="G36" s="180"/>
      <c r="H36" s="181"/>
      <c r="I36" s="181"/>
      <c r="J36" s="181"/>
      <c r="K36" s="181"/>
      <c r="L36" s="184"/>
      <c r="M36" s="183"/>
      <c r="N36" s="183"/>
      <c r="O36" s="183"/>
      <c r="P36" s="183"/>
      <c r="Q36" s="183"/>
      <c r="R36" s="183"/>
      <c r="S36" s="183"/>
      <c r="T36" s="183"/>
      <c r="U36" s="183"/>
      <c r="V36" s="183"/>
      <c r="W36" s="183"/>
      <c r="X36" s="183"/>
      <c r="Y36" s="183"/>
      <c r="Z36" s="183"/>
      <c r="AA36" s="183"/>
      <c r="AB36" s="183"/>
      <c r="AC36" s="183"/>
    </row>
    <row r="37">
      <c r="A37" s="178" t="s">
        <v>366</v>
      </c>
      <c r="B37" s="179" t="s">
        <v>20</v>
      </c>
      <c r="C37" s="62" t="s">
        <v>375</v>
      </c>
      <c r="D37" s="63"/>
      <c r="E37" s="63"/>
      <c r="F37" s="179"/>
      <c r="G37" s="180"/>
      <c r="H37" s="181"/>
      <c r="I37" s="181"/>
      <c r="J37" s="181"/>
      <c r="K37" s="181"/>
      <c r="L37" s="184"/>
      <c r="M37" s="183"/>
      <c r="N37" s="183"/>
      <c r="O37" s="183"/>
      <c r="P37" s="183"/>
      <c r="Q37" s="183"/>
      <c r="R37" s="183"/>
      <c r="S37" s="183"/>
      <c r="T37" s="183"/>
      <c r="U37" s="183"/>
      <c r="V37" s="183"/>
      <c r="W37" s="183"/>
      <c r="X37" s="183"/>
      <c r="Y37" s="183"/>
      <c r="Z37" s="183"/>
      <c r="AA37" s="183"/>
      <c r="AB37" s="183"/>
      <c r="AC37" s="183"/>
    </row>
    <row r="38">
      <c r="A38" s="178" t="s">
        <v>366</v>
      </c>
      <c r="B38" s="179" t="s">
        <v>71</v>
      </c>
      <c r="C38" s="62" t="s">
        <v>376</v>
      </c>
      <c r="D38" s="62"/>
      <c r="E38" s="62"/>
      <c r="F38" s="179"/>
      <c r="G38" s="180"/>
      <c r="H38" s="181"/>
      <c r="I38" s="181"/>
      <c r="J38" s="181"/>
      <c r="K38" s="181"/>
      <c r="L38" s="184"/>
      <c r="M38" s="183"/>
      <c r="N38" s="183"/>
      <c r="O38" s="183"/>
      <c r="P38" s="183"/>
      <c r="Q38" s="183"/>
      <c r="R38" s="183"/>
      <c r="S38" s="183"/>
      <c r="T38" s="183"/>
      <c r="U38" s="183"/>
      <c r="V38" s="183"/>
      <c r="W38" s="183"/>
      <c r="X38" s="183"/>
      <c r="Y38" s="183"/>
      <c r="Z38" s="183"/>
      <c r="AA38" s="183"/>
      <c r="AB38" s="183"/>
      <c r="AC38" s="183"/>
    </row>
    <row r="39">
      <c r="A39" s="178" t="s">
        <v>366</v>
      </c>
      <c r="B39" s="179" t="s">
        <v>71</v>
      </c>
      <c r="C39" s="62" t="s">
        <v>377</v>
      </c>
      <c r="D39" s="62"/>
      <c r="E39" s="62"/>
      <c r="F39" s="179"/>
      <c r="G39" s="180"/>
      <c r="H39" s="181"/>
      <c r="I39" s="181"/>
      <c r="J39" s="181"/>
      <c r="K39" s="181"/>
      <c r="L39" s="184"/>
      <c r="M39" s="183"/>
      <c r="N39" s="183"/>
      <c r="O39" s="183"/>
      <c r="P39" s="183"/>
      <c r="Q39" s="183"/>
      <c r="R39" s="183"/>
      <c r="S39" s="183"/>
      <c r="T39" s="183"/>
      <c r="U39" s="183"/>
      <c r="V39" s="183"/>
      <c r="W39" s="183"/>
      <c r="X39" s="183"/>
      <c r="Y39" s="183"/>
      <c r="Z39" s="183"/>
      <c r="AA39" s="183"/>
      <c r="AB39" s="183"/>
      <c r="AC39" s="183"/>
    </row>
    <row r="40">
      <c r="A40" s="178" t="s">
        <v>366</v>
      </c>
      <c r="B40" s="179" t="s">
        <v>71</v>
      </c>
      <c r="C40" s="62" t="s">
        <v>378</v>
      </c>
      <c r="D40" s="62"/>
      <c r="E40" s="62"/>
      <c r="F40" s="179"/>
      <c r="G40" s="180"/>
      <c r="H40" s="181"/>
      <c r="I40" s="181"/>
      <c r="J40" s="181"/>
      <c r="K40" s="181"/>
      <c r="L40" s="184"/>
      <c r="M40" s="183"/>
      <c r="N40" s="183"/>
      <c r="O40" s="183"/>
      <c r="P40" s="183"/>
      <c r="Q40" s="183"/>
      <c r="R40" s="183"/>
      <c r="S40" s="183"/>
      <c r="T40" s="183"/>
      <c r="U40" s="183"/>
      <c r="V40" s="183"/>
      <c r="W40" s="183"/>
      <c r="X40" s="183"/>
      <c r="Y40" s="183"/>
      <c r="Z40" s="183"/>
      <c r="AA40" s="183"/>
      <c r="AB40" s="183"/>
      <c r="AC40" s="183"/>
    </row>
    <row r="41">
      <c r="A41" s="178" t="s">
        <v>366</v>
      </c>
      <c r="B41" s="179" t="s">
        <v>20</v>
      </c>
      <c r="C41" s="62" t="s">
        <v>379</v>
      </c>
      <c r="D41" s="62"/>
      <c r="E41" s="62"/>
      <c r="F41" s="179"/>
      <c r="G41" s="180"/>
      <c r="H41" s="181"/>
      <c r="I41" s="181"/>
      <c r="J41" s="181"/>
      <c r="K41" s="181"/>
      <c r="L41" s="184"/>
      <c r="M41" s="183"/>
      <c r="N41" s="183"/>
      <c r="O41" s="183"/>
      <c r="P41" s="183"/>
      <c r="Q41" s="183"/>
      <c r="R41" s="183"/>
      <c r="S41" s="183"/>
      <c r="T41" s="183"/>
      <c r="U41" s="183"/>
      <c r="V41" s="183"/>
      <c r="W41" s="183"/>
      <c r="X41" s="183"/>
      <c r="Y41" s="183"/>
      <c r="Z41" s="183"/>
      <c r="AA41" s="183"/>
      <c r="AB41" s="183"/>
      <c r="AC41" s="183"/>
    </row>
    <row r="42">
      <c r="A42" s="178" t="s">
        <v>366</v>
      </c>
      <c r="B42" s="179" t="s">
        <v>20</v>
      </c>
      <c r="C42" s="62" t="s">
        <v>380</v>
      </c>
      <c r="D42" s="62"/>
      <c r="E42" s="62" t="s">
        <v>381</v>
      </c>
      <c r="F42" s="179"/>
      <c r="G42" s="180"/>
      <c r="H42" s="181"/>
      <c r="I42" s="181"/>
      <c r="J42" s="181"/>
      <c r="K42" s="181"/>
      <c r="L42" s="184"/>
      <c r="M42" s="183"/>
      <c r="N42" s="183"/>
      <c r="O42" s="183"/>
      <c r="P42" s="183"/>
      <c r="Q42" s="183"/>
      <c r="R42" s="183"/>
      <c r="S42" s="183"/>
      <c r="T42" s="183"/>
      <c r="U42" s="183"/>
      <c r="V42" s="183"/>
      <c r="W42" s="183"/>
      <c r="X42" s="183"/>
      <c r="Y42" s="183"/>
      <c r="Z42" s="183"/>
      <c r="AA42" s="183"/>
      <c r="AB42" s="183"/>
      <c r="AC42" s="183"/>
    </row>
    <row r="43">
      <c r="A43" s="178" t="s">
        <v>366</v>
      </c>
      <c r="B43" s="179" t="s">
        <v>20</v>
      </c>
      <c r="C43" s="62" t="s">
        <v>382</v>
      </c>
      <c r="D43" s="62"/>
      <c r="E43" s="62"/>
      <c r="F43" s="179"/>
      <c r="G43" s="180"/>
      <c r="H43" s="181"/>
      <c r="I43" s="181"/>
      <c r="J43" s="181"/>
      <c r="K43" s="181"/>
      <c r="L43" s="184"/>
      <c r="M43" s="183"/>
      <c r="N43" s="183"/>
      <c r="O43" s="183"/>
      <c r="P43" s="183"/>
      <c r="Q43" s="183"/>
      <c r="R43" s="183"/>
      <c r="S43" s="183"/>
      <c r="T43" s="183"/>
      <c r="U43" s="183"/>
      <c r="V43" s="183"/>
      <c r="W43" s="183"/>
      <c r="X43" s="183"/>
      <c r="Y43" s="183"/>
      <c r="Z43" s="183"/>
      <c r="AA43" s="183"/>
      <c r="AB43" s="183"/>
      <c r="AC43" s="183"/>
    </row>
    <row r="44">
      <c r="A44" s="178" t="s">
        <v>366</v>
      </c>
      <c r="B44" s="179" t="s">
        <v>20</v>
      </c>
      <c r="C44" s="62" t="s">
        <v>383</v>
      </c>
      <c r="D44" s="62"/>
      <c r="E44" s="62"/>
      <c r="F44" s="179"/>
      <c r="G44" s="180"/>
      <c r="H44" s="181"/>
      <c r="I44" s="181"/>
      <c r="J44" s="181"/>
      <c r="K44" s="181"/>
      <c r="L44" s="184"/>
      <c r="M44" s="183"/>
      <c r="N44" s="183"/>
      <c r="O44" s="183"/>
      <c r="P44" s="183"/>
      <c r="Q44" s="183"/>
      <c r="R44" s="183"/>
      <c r="S44" s="183"/>
      <c r="T44" s="183"/>
      <c r="U44" s="183"/>
      <c r="V44" s="183"/>
      <c r="W44" s="183"/>
      <c r="X44" s="183"/>
      <c r="Y44" s="183"/>
      <c r="Z44" s="183"/>
      <c r="AA44" s="183"/>
      <c r="AB44" s="183"/>
      <c r="AC44" s="183"/>
    </row>
    <row r="45">
      <c r="A45" s="178" t="s">
        <v>366</v>
      </c>
      <c r="B45" s="179" t="s">
        <v>71</v>
      </c>
      <c r="C45" s="62" t="s">
        <v>384</v>
      </c>
      <c r="D45" s="62"/>
      <c r="E45" s="62"/>
      <c r="F45" s="179"/>
      <c r="G45" s="180"/>
      <c r="H45" s="181"/>
      <c r="I45" s="181"/>
      <c r="J45" s="181"/>
      <c r="K45" s="181"/>
      <c r="L45" s="184"/>
      <c r="M45" s="183"/>
      <c r="N45" s="183"/>
      <c r="O45" s="183"/>
      <c r="P45" s="183"/>
      <c r="Q45" s="183"/>
      <c r="R45" s="183"/>
      <c r="S45" s="183"/>
      <c r="T45" s="183"/>
      <c r="U45" s="183"/>
      <c r="V45" s="183"/>
      <c r="W45" s="183"/>
      <c r="X45" s="183"/>
      <c r="Y45" s="183"/>
      <c r="Z45" s="183"/>
      <c r="AA45" s="183"/>
      <c r="AB45" s="183"/>
      <c r="AC45" s="183"/>
    </row>
    <row r="46">
      <c r="A46" s="178" t="s">
        <v>366</v>
      </c>
      <c r="B46" s="179" t="s">
        <v>71</v>
      </c>
      <c r="C46" s="62" t="s">
        <v>385</v>
      </c>
      <c r="D46" s="62"/>
      <c r="E46" s="62"/>
      <c r="F46" s="179"/>
      <c r="G46" s="180"/>
      <c r="H46" s="181"/>
      <c r="I46" s="181"/>
      <c r="J46" s="181"/>
      <c r="K46" s="181"/>
      <c r="L46" s="184"/>
      <c r="M46" s="183"/>
      <c r="N46" s="183"/>
      <c r="O46" s="183"/>
      <c r="P46" s="183"/>
      <c r="Q46" s="183"/>
      <c r="R46" s="183"/>
      <c r="S46" s="183"/>
      <c r="T46" s="183"/>
      <c r="U46" s="183"/>
      <c r="V46" s="183"/>
      <c r="W46" s="183"/>
      <c r="X46" s="183"/>
      <c r="Y46" s="183"/>
      <c r="Z46" s="183"/>
      <c r="AA46" s="183"/>
      <c r="AB46" s="183"/>
      <c r="AC46" s="183"/>
    </row>
    <row r="47">
      <c r="A47" s="178" t="s">
        <v>366</v>
      </c>
      <c r="B47" s="179" t="s">
        <v>20</v>
      </c>
      <c r="C47" s="62" t="s">
        <v>386</v>
      </c>
      <c r="D47" s="62"/>
      <c r="E47" s="62"/>
      <c r="F47" s="179"/>
      <c r="G47" s="180"/>
      <c r="H47" s="181"/>
      <c r="I47" s="181"/>
      <c r="J47" s="181"/>
      <c r="K47" s="181"/>
      <c r="L47" s="184"/>
      <c r="M47" s="183"/>
      <c r="N47" s="183"/>
      <c r="O47" s="183"/>
      <c r="P47" s="183"/>
      <c r="Q47" s="183"/>
      <c r="R47" s="183"/>
      <c r="S47" s="183"/>
      <c r="T47" s="183"/>
      <c r="U47" s="183"/>
      <c r="V47" s="183"/>
      <c r="W47" s="183"/>
      <c r="X47" s="183"/>
      <c r="Y47" s="183"/>
      <c r="Z47" s="183"/>
      <c r="AA47" s="183"/>
      <c r="AB47" s="183"/>
      <c r="AC47" s="183"/>
    </row>
    <row r="48">
      <c r="A48" s="178" t="s">
        <v>366</v>
      </c>
      <c r="B48" s="179" t="s">
        <v>20</v>
      </c>
      <c r="C48" s="62" t="s">
        <v>387</v>
      </c>
      <c r="D48" s="62"/>
      <c r="E48" s="62"/>
      <c r="F48" s="179"/>
      <c r="G48" s="180"/>
      <c r="H48" s="181"/>
      <c r="I48" s="181"/>
      <c r="J48" s="181"/>
      <c r="K48" s="181"/>
      <c r="L48" s="184"/>
      <c r="M48" s="183"/>
      <c r="N48" s="183"/>
      <c r="O48" s="183"/>
      <c r="P48" s="183"/>
      <c r="Q48" s="183"/>
      <c r="R48" s="183"/>
      <c r="S48" s="183"/>
      <c r="T48" s="183"/>
      <c r="U48" s="183"/>
      <c r="V48" s="183"/>
      <c r="W48" s="183"/>
      <c r="X48" s="183"/>
      <c r="Y48" s="183"/>
      <c r="Z48" s="183"/>
      <c r="AA48" s="183"/>
      <c r="AB48" s="183"/>
      <c r="AC48" s="183"/>
    </row>
    <row r="49">
      <c r="A49" s="178" t="s">
        <v>366</v>
      </c>
      <c r="B49" s="179" t="s">
        <v>20</v>
      </c>
      <c r="C49" s="62" t="s">
        <v>388</v>
      </c>
      <c r="D49" s="62"/>
      <c r="E49" s="62"/>
      <c r="F49" s="179"/>
      <c r="G49" s="180"/>
      <c r="H49" s="181"/>
      <c r="I49" s="181"/>
      <c r="J49" s="181"/>
      <c r="K49" s="181"/>
      <c r="L49" s="184"/>
      <c r="M49" s="183"/>
      <c r="N49" s="183"/>
      <c r="O49" s="183"/>
      <c r="P49" s="183"/>
      <c r="Q49" s="183"/>
      <c r="R49" s="183"/>
      <c r="S49" s="183"/>
      <c r="T49" s="183"/>
      <c r="U49" s="183"/>
      <c r="V49" s="183"/>
      <c r="W49" s="183"/>
      <c r="X49" s="183"/>
      <c r="Y49" s="183"/>
      <c r="Z49" s="183"/>
      <c r="AA49" s="183"/>
      <c r="AB49" s="183"/>
      <c r="AC49" s="183"/>
    </row>
    <row r="50">
      <c r="A50" s="178" t="s">
        <v>366</v>
      </c>
      <c r="B50" s="179" t="s">
        <v>71</v>
      </c>
      <c r="C50" s="62" t="s">
        <v>389</v>
      </c>
      <c r="D50" s="62"/>
      <c r="E50" s="62"/>
      <c r="F50" s="179"/>
      <c r="G50" s="180"/>
      <c r="H50" s="181"/>
      <c r="I50" s="181"/>
      <c r="J50" s="181"/>
      <c r="K50" s="181"/>
      <c r="L50" s="184"/>
      <c r="M50" s="183"/>
      <c r="N50" s="183"/>
      <c r="O50" s="183"/>
      <c r="P50" s="183"/>
      <c r="Q50" s="183"/>
      <c r="R50" s="183"/>
      <c r="S50" s="183"/>
      <c r="T50" s="183"/>
      <c r="U50" s="183"/>
      <c r="V50" s="183"/>
      <c r="W50" s="183"/>
      <c r="X50" s="183"/>
      <c r="Y50" s="183"/>
      <c r="Z50" s="183"/>
      <c r="AA50" s="183"/>
      <c r="AB50" s="183"/>
      <c r="AC50" s="183"/>
    </row>
    <row r="51">
      <c r="A51" s="178" t="s">
        <v>366</v>
      </c>
      <c r="B51" s="179" t="s">
        <v>71</v>
      </c>
      <c r="C51" s="62" t="s">
        <v>390</v>
      </c>
      <c r="D51" s="62"/>
      <c r="E51" s="62"/>
      <c r="F51" s="179"/>
      <c r="G51" s="180"/>
      <c r="H51" s="181"/>
      <c r="I51" s="181"/>
      <c r="J51" s="181"/>
      <c r="K51" s="181"/>
      <c r="L51" s="184"/>
      <c r="M51" s="183"/>
      <c r="N51" s="183"/>
      <c r="O51" s="183"/>
      <c r="P51" s="183"/>
      <c r="Q51" s="183"/>
      <c r="R51" s="183"/>
      <c r="S51" s="183"/>
      <c r="T51" s="183"/>
      <c r="U51" s="183"/>
      <c r="V51" s="183"/>
      <c r="W51" s="183"/>
      <c r="X51" s="183"/>
      <c r="Y51" s="183"/>
      <c r="Z51" s="183"/>
      <c r="AA51" s="183"/>
      <c r="AB51" s="183"/>
      <c r="AC51" s="183"/>
    </row>
    <row r="52">
      <c r="A52" s="178" t="s">
        <v>366</v>
      </c>
      <c r="B52" s="179" t="s">
        <v>71</v>
      </c>
      <c r="C52" s="62" t="s">
        <v>391</v>
      </c>
      <c r="D52" s="62"/>
      <c r="E52" s="62"/>
      <c r="F52" s="179"/>
      <c r="G52" s="180"/>
      <c r="H52" s="181"/>
      <c r="I52" s="181"/>
      <c r="J52" s="181"/>
      <c r="K52" s="181"/>
      <c r="L52" s="184"/>
      <c r="M52" s="183"/>
      <c r="N52" s="183"/>
      <c r="O52" s="183"/>
      <c r="P52" s="183"/>
      <c r="Q52" s="183"/>
      <c r="R52" s="183"/>
      <c r="S52" s="183"/>
      <c r="T52" s="183"/>
      <c r="U52" s="183"/>
      <c r="V52" s="183"/>
      <c r="W52" s="183"/>
      <c r="X52" s="183"/>
      <c r="Y52" s="183"/>
      <c r="Z52" s="183"/>
      <c r="AA52" s="183"/>
      <c r="AB52" s="183"/>
      <c r="AC52" s="183"/>
    </row>
    <row r="53">
      <c r="A53" s="178" t="s">
        <v>366</v>
      </c>
      <c r="B53" s="179" t="s">
        <v>71</v>
      </c>
      <c r="C53" s="62" t="s">
        <v>392</v>
      </c>
      <c r="D53" s="62"/>
      <c r="E53" s="62"/>
      <c r="F53" s="179"/>
      <c r="G53" s="180"/>
      <c r="H53" s="181"/>
      <c r="I53" s="181"/>
      <c r="J53" s="181"/>
      <c r="K53" s="181"/>
      <c r="L53" s="184"/>
      <c r="M53" s="183"/>
      <c r="N53" s="183"/>
      <c r="O53" s="183"/>
      <c r="P53" s="183"/>
      <c r="Q53" s="183"/>
      <c r="R53" s="183"/>
      <c r="S53" s="183"/>
      <c r="T53" s="183"/>
      <c r="U53" s="183"/>
      <c r="V53" s="183"/>
      <c r="W53" s="183"/>
      <c r="X53" s="183"/>
      <c r="Y53" s="183"/>
      <c r="Z53" s="183"/>
      <c r="AA53" s="183"/>
      <c r="AB53" s="183"/>
      <c r="AC53" s="183"/>
    </row>
    <row r="54">
      <c r="A54" s="185" t="s">
        <v>366</v>
      </c>
      <c r="B54" s="186" t="s">
        <v>20</v>
      </c>
      <c r="C54" s="187" t="s">
        <v>393</v>
      </c>
      <c r="D54" s="187"/>
      <c r="E54" s="187"/>
      <c r="F54" s="186"/>
      <c r="G54" s="188"/>
      <c r="H54" s="189"/>
      <c r="I54" s="189"/>
      <c r="J54" s="189"/>
      <c r="K54" s="189"/>
      <c r="L54" s="190"/>
      <c r="M54" s="191"/>
      <c r="N54" s="191"/>
      <c r="O54" s="191"/>
      <c r="P54" s="191"/>
      <c r="Q54" s="191"/>
      <c r="R54" s="191"/>
      <c r="S54" s="191"/>
      <c r="T54" s="191"/>
      <c r="U54" s="191"/>
      <c r="V54" s="191"/>
      <c r="W54" s="191"/>
      <c r="X54" s="191"/>
      <c r="Y54" s="191"/>
      <c r="Z54" s="191"/>
      <c r="AA54" s="191"/>
      <c r="AB54" s="191"/>
      <c r="AC54" s="191"/>
    </row>
    <row r="55">
      <c r="A55" s="192" t="s">
        <v>394</v>
      </c>
      <c r="B55" s="193" t="s">
        <v>20</v>
      </c>
      <c r="C55" s="193" t="s">
        <v>212</v>
      </c>
      <c r="D55" s="193"/>
      <c r="E55" s="193"/>
      <c r="F55" s="193"/>
      <c r="G55" s="194"/>
      <c r="H55" s="195"/>
      <c r="I55" s="195"/>
      <c r="J55" s="195"/>
      <c r="K55" s="195"/>
      <c r="L55" s="196"/>
      <c r="M55" s="197"/>
      <c r="N55" s="197"/>
      <c r="O55" s="197"/>
      <c r="P55" s="197"/>
      <c r="Q55" s="197"/>
      <c r="R55" s="197"/>
      <c r="S55" s="197"/>
      <c r="T55" s="197"/>
      <c r="U55" s="197"/>
      <c r="V55" s="197"/>
      <c r="W55" s="197"/>
      <c r="X55" s="197"/>
      <c r="Y55" s="197"/>
      <c r="Z55" s="197"/>
      <c r="AA55" s="197"/>
      <c r="AB55" s="197"/>
      <c r="AC55" s="197"/>
    </row>
    <row r="56">
      <c r="A56" s="192" t="s">
        <v>394</v>
      </c>
      <c r="B56" s="193" t="s">
        <v>20</v>
      </c>
      <c r="C56" s="193" t="s">
        <v>213</v>
      </c>
      <c r="D56" s="193"/>
      <c r="E56" s="193"/>
      <c r="F56" s="193"/>
      <c r="G56" s="194"/>
      <c r="H56" s="195"/>
      <c r="I56" s="195"/>
      <c r="J56" s="195"/>
      <c r="K56" s="195"/>
      <c r="L56" s="198"/>
      <c r="M56" s="197"/>
      <c r="N56" s="197"/>
      <c r="O56" s="197"/>
      <c r="P56" s="197"/>
      <c r="Q56" s="197"/>
      <c r="R56" s="197"/>
      <c r="S56" s="197"/>
      <c r="T56" s="197"/>
      <c r="U56" s="197"/>
      <c r="V56" s="197"/>
      <c r="W56" s="197"/>
      <c r="X56" s="197"/>
      <c r="Y56" s="197"/>
      <c r="Z56" s="197"/>
      <c r="AA56" s="197"/>
      <c r="AB56" s="197"/>
      <c r="AC56" s="197"/>
    </row>
    <row r="57">
      <c r="A57" s="192" t="s">
        <v>394</v>
      </c>
      <c r="B57" s="193" t="s">
        <v>20</v>
      </c>
      <c r="C57" s="193" t="s">
        <v>395</v>
      </c>
      <c r="D57" s="193"/>
      <c r="E57" s="193"/>
      <c r="F57" s="193"/>
      <c r="G57" s="194"/>
      <c r="H57" s="195"/>
      <c r="I57" s="195"/>
      <c r="J57" s="195"/>
      <c r="K57" s="195"/>
      <c r="L57" s="198"/>
      <c r="M57" s="197"/>
      <c r="N57" s="197"/>
      <c r="O57" s="197"/>
      <c r="P57" s="197"/>
      <c r="Q57" s="197"/>
      <c r="R57" s="197"/>
      <c r="S57" s="197"/>
      <c r="T57" s="197"/>
      <c r="U57" s="197"/>
      <c r="V57" s="197"/>
      <c r="W57" s="197"/>
      <c r="X57" s="197"/>
      <c r="Y57" s="197"/>
      <c r="Z57" s="197"/>
      <c r="AA57" s="197"/>
      <c r="AB57" s="197"/>
      <c r="AC57" s="197"/>
    </row>
    <row r="58">
      <c r="A58" s="192" t="s">
        <v>394</v>
      </c>
      <c r="B58" s="193" t="s">
        <v>71</v>
      </c>
      <c r="C58" s="193" t="s">
        <v>396</v>
      </c>
      <c r="D58" s="193"/>
      <c r="E58" s="193"/>
      <c r="F58" s="193"/>
      <c r="G58" s="194"/>
      <c r="H58" s="195"/>
      <c r="I58" s="195"/>
      <c r="J58" s="195"/>
      <c r="K58" s="195"/>
      <c r="L58" s="198"/>
      <c r="M58" s="197"/>
      <c r="N58" s="197"/>
      <c r="O58" s="197"/>
      <c r="P58" s="197"/>
      <c r="Q58" s="197"/>
      <c r="R58" s="197"/>
      <c r="S58" s="197"/>
      <c r="T58" s="197"/>
      <c r="U58" s="197"/>
      <c r="V58" s="197"/>
      <c r="W58" s="197"/>
      <c r="X58" s="197"/>
      <c r="Y58" s="197"/>
      <c r="Z58" s="197"/>
      <c r="AA58" s="197"/>
      <c r="AB58" s="197"/>
      <c r="AC58" s="197"/>
    </row>
    <row r="59">
      <c r="A59" s="192" t="s">
        <v>394</v>
      </c>
      <c r="B59" s="193" t="s">
        <v>71</v>
      </c>
      <c r="C59" s="72" t="s">
        <v>397</v>
      </c>
      <c r="D59" s="193"/>
      <c r="E59" s="193"/>
      <c r="F59" s="193"/>
      <c r="G59" s="194"/>
      <c r="H59" s="195"/>
      <c r="I59" s="195"/>
      <c r="J59" s="195"/>
      <c r="K59" s="195"/>
      <c r="L59" s="198"/>
      <c r="M59" s="197"/>
      <c r="N59" s="197"/>
      <c r="O59" s="197"/>
      <c r="P59" s="197"/>
      <c r="Q59" s="197"/>
      <c r="R59" s="197"/>
      <c r="S59" s="197"/>
      <c r="T59" s="197"/>
      <c r="U59" s="197"/>
      <c r="V59" s="197"/>
      <c r="W59" s="197"/>
      <c r="X59" s="197"/>
      <c r="Y59" s="197"/>
      <c r="Z59" s="197"/>
      <c r="AA59" s="197"/>
      <c r="AB59" s="197"/>
      <c r="AC59" s="197"/>
    </row>
    <row r="60">
      <c r="A60" s="192" t="s">
        <v>394</v>
      </c>
      <c r="B60" s="193" t="s">
        <v>71</v>
      </c>
      <c r="C60" s="72" t="s">
        <v>216</v>
      </c>
      <c r="D60" s="193"/>
      <c r="E60" s="193"/>
      <c r="F60" s="193"/>
      <c r="G60" s="194"/>
      <c r="H60" s="195"/>
      <c r="I60" s="195"/>
      <c r="J60" s="195"/>
      <c r="K60" s="195"/>
      <c r="L60" s="198"/>
      <c r="M60" s="197"/>
      <c r="N60" s="197"/>
      <c r="O60" s="197"/>
      <c r="P60" s="197"/>
      <c r="Q60" s="197"/>
      <c r="R60" s="197"/>
      <c r="S60" s="197"/>
      <c r="T60" s="197"/>
      <c r="U60" s="197"/>
      <c r="V60" s="197"/>
      <c r="W60" s="197"/>
      <c r="X60" s="197"/>
      <c r="Y60" s="197"/>
      <c r="Z60" s="197"/>
      <c r="AA60" s="197"/>
      <c r="AB60" s="197"/>
      <c r="AC60" s="197"/>
    </row>
    <row r="61">
      <c r="A61" s="192" t="s">
        <v>394</v>
      </c>
      <c r="B61" s="193" t="s">
        <v>20</v>
      </c>
      <c r="C61" s="72" t="s">
        <v>217</v>
      </c>
      <c r="D61" s="193"/>
      <c r="E61" s="193"/>
      <c r="F61" s="193"/>
      <c r="G61" s="194"/>
      <c r="H61" s="195"/>
      <c r="I61" s="195"/>
      <c r="J61" s="195"/>
      <c r="K61" s="195"/>
      <c r="L61" s="198"/>
      <c r="M61" s="197"/>
      <c r="N61" s="197"/>
      <c r="O61" s="197"/>
      <c r="P61" s="197"/>
      <c r="Q61" s="197"/>
      <c r="R61" s="197"/>
      <c r="S61" s="197"/>
      <c r="T61" s="197"/>
      <c r="U61" s="197"/>
      <c r="V61" s="197"/>
      <c r="W61" s="197"/>
      <c r="X61" s="197"/>
      <c r="Y61" s="197"/>
      <c r="Z61" s="197"/>
      <c r="AA61" s="197"/>
      <c r="AB61" s="197"/>
      <c r="AC61" s="197"/>
    </row>
    <row r="62">
      <c r="A62" s="192" t="s">
        <v>394</v>
      </c>
      <c r="B62" s="193" t="s">
        <v>20</v>
      </c>
      <c r="C62" s="72" t="s">
        <v>218</v>
      </c>
      <c r="D62" s="193"/>
      <c r="E62" s="193"/>
      <c r="F62" s="193"/>
      <c r="G62" s="194"/>
      <c r="H62" s="195"/>
      <c r="I62" s="195"/>
      <c r="J62" s="195"/>
      <c r="K62" s="195"/>
      <c r="L62" s="198"/>
      <c r="M62" s="197"/>
      <c r="N62" s="197"/>
      <c r="O62" s="197"/>
      <c r="P62" s="197"/>
      <c r="Q62" s="197"/>
      <c r="R62" s="197"/>
      <c r="S62" s="197"/>
      <c r="T62" s="197"/>
      <c r="U62" s="197"/>
      <c r="V62" s="197"/>
      <c r="W62" s="197"/>
      <c r="X62" s="197"/>
      <c r="Y62" s="197"/>
      <c r="Z62" s="197"/>
      <c r="AA62" s="197"/>
      <c r="AB62" s="197"/>
      <c r="AC62" s="197"/>
    </row>
    <row r="63" ht="17.25" customHeight="1">
      <c r="A63" s="199" t="s">
        <v>394</v>
      </c>
      <c r="B63" s="200" t="s">
        <v>20</v>
      </c>
      <c r="C63" s="84" t="s">
        <v>219</v>
      </c>
      <c r="D63" s="200"/>
      <c r="E63" s="200" t="s">
        <v>398</v>
      </c>
      <c r="F63" s="200"/>
      <c r="G63" s="201"/>
      <c r="H63" s="202"/>
      <c r="I63" s="202"/>
      <c r="J63" s="202"/>
      <c r="K63" s="202"/>
      <c r="L63" s="203"/>
      <c r="M63" s="204"/>
      <c r="N63" s="204"/>
      <c r="O63" s="204"/>
      <c r="P63" s="204"/>
      <c r="Q63" s="204"/>
      <c r="R63" s="204"/>
      <c r="S63" s="204"/>
      <c r="T63" s="204"/>
      <c r="U63" s="204"/>
      <c r="V63" s="204"/>
      <c r="W63" s="204"/>
      <c r="X63" s="204"/>
      <c r="Y63" s="204"/>
      <c r="Z63" s="204"/>
      <c r="AA63" s="204"/>
      <c r="AB63" s="204"/>
      <c r="AC63" s="204"/>
    </row>
    <row r="64">
      <c r="A64" s="205" t="s">
        <v>399</v>
      </c>
      <c r="B64" s="206" t="s">
        <v>20</v>
      </c>
      <c r="C64" s="207" t="s">
        <v>400</v>
      </c>
      <c r="D64" s="206"/>
      <c r="E64" s="206"/>
      <c r="F64" s="206"/>
      <c r="G64" s="208"/>
      <c r="H64" s="209"/>
      <c r="I64" s="209"/>
      <c r="J64" s="209"/>
      <c r="K64" s="209"/>
      <c r="L64" s="210"/>
      <c r="M64" s="211"/>
      <c r="N64" s="211"/>
      <c r="O64" s="211"/>
      <c r="P64" s="211"/>
      <c r="Q64" s="211"/>
      <c r="R64" s="211"/>
      <c r="S64" s="211"/>
      <c r="T64" s="211"/>
      <c r="U64" s="211"/>
      <c r="V64" s="211"/>
      <c r="W64" s="211"/>
      <c r="X64" s="211"/>
      <c r="Y64" s="211"/>
      <c r="Z64" s="211"/>
      <c r="AA64" s="211"/>
      <c r="AB64" s="211"/>
      <c r="AC64" s="211"/>
    </row>
    <row r="65">
      <c r="A65" s="205" t="s">
        <v>399</v>
      </c>
      <c r="B65" s="206" t="s">
        <v>71</v>
      </c>
      <c r="C65" s="207" t="s">
        <v>401</v>
      </c>
      <c r="D65" s="206"/>
      <c r="E65" s="206"/>
      <c r="F65" s="206"/>
      <c r="G65" s="208"/>
      <c r="H65" s="209"/>
      <c r="I65" s="209"/>
      <c r="J65" s="209"/>
      <c r="K65" s="209"/>
      <c r="L65" s="212"/>
      <c r="M65" s="211"/>
      <c r="N65" s="211"/>
      <c r="O65" s="211"/>
      <c r="P65" s="211"/>
      <c r="Q65" s="211"/>
      <c r="R65" s="211"/>
      <c r="S65" s="211"/>
      <c r="T65" s="211"/>
      <c r="U65" s="211"/>
      <c r="V65" s="211"/>
      <c r="W65" s="211"/>
      <c r="X65" s="211"/>
      <c r="Y65" s="211"/>
      <c r="Z65" s="211"/>
      <c r="AA65" s="211"/>
      <c r="AB65" s="211"/>
      <c r="AC65" s="211"/>
    </row>
    <row r="66">
      <c r="A66" s="205" t="s">
        <v>399</v>
      </c>
      <c r="B66" s="206" t="s">
        <v>20</v>
      </c>
      <c r="C66" s="207" t="s">
        <v>402</v>
      </c>
      <c r="D66" s="206"/>
      <c r="E66" s="206"/>
      <c r="F66" s="206"/>
      <c r="G66" s="208"/>
      <c r="H66" s="209"/>
      <c r="I66" s="209"/>
      <c r="J66" s="209"/>
      <c r="K66" s="209"/>
      <c r="L66" s="212"/>
      <c r="M66" s="211"/>
      <c r="N66" s="211"/>
      <c r="O66" s="211"/>
      <c r="P66" s="211"/>
      <c r="Q66" s="211"/>
      <c r="R66" s="211"/>
      <c r="S66" s="211"/>
      <c r="T66" s="211"/>
      <c r="U66" s="211"/>
      <c r="V66" s="211"/>
      <c r="W66" s="211"/>
      <c r="X66" s="211"/>
      <c r="Y66" s="211"/>
      <c r="Z66" s="211"/>
      <c r="AA66" s="211"/>
      <c r="AB66" s="211"/>
      <c r="AC66" s="211"/>
    </row>
    <row r="67">
      <c r="A67" s="213" t="s">
        <v>399</v>
      </c>
      <c r="B67" s="214" t="s">
        <v>71</v>
      </c>
      <c r="C67" s="215" t="s">
        <v>403</v>
      </c>
      <c r="D67" s="214"/>
      <c r="E67" s="214" t="s">
        <v>404</v>
      </c>
      <c r="F67" s="214"/>
      <c r="G67" s="216"/>
      <c r="H67" s="217"/>
      <c r="I67" s="217"/>
      <c r="J67" s="217"/>
      <c r="K67" s="217"/>
      <c r="L67" s="218"/>
      <c r="M67" s="219"/>
      <c r="N67" s="219"/>
      <c r="O67" s="219"/>
      <c r="P67" s="219"/>
      <c r="Q67" s="219"/>
      <c r="R67" s="219"/>
      <c r="S67" s="219"/>
      <c r="T67" s="219"/>
      <c r="U67" s="219"/>
      <c r="V67" s="219"/>
      <c r="W67" s="219"/>
      <c r="X67" s="219"/>
      <c r="Y67" s="219"/>
      <c r="Z67" s="219"/>
      <c r="AA67" s="219"/>
      <c r="AB67" s="219"/>
      <c r="AC67" s="219"/>
    </row>
    <row r="68">
      <c r="A68" s="220" t="s">
        <v>405</v>
      </c>
      <c r="B68" s="221" t="s">
        <v>71</v>
      </c>
      <c r="C68" s="89" t="s">
        <v>222</v>
      </c>
      <c r="D68" s="221"/>
      <c r="E68" s="221"/>
      <c r="F68" s="221"/>
      <c r="G68" s="222"/>
      <c r="H68" s="223"/>
      <c r="I68" s="223"/>
      <c r="J68" s="223"/>
      <c r="K68" s="223"/>
      <c r="L68" s="224"/>
      <c r="M68" s="225"/>
      <c r="N68" s="225"/>
      <c r="O68" s="225"/>
      <c r="P68" s="225"/>
      <c r="Q68" s="225"/>
      <c r="R68" s="225"/>
      <c r="S68" s="225"/>
      <c r="T68" s="225"/>
      <c r="U68" s="225"/>
      <c r="V68" s="225"/>
      <c r="W68" s="225"/>
      <c r="X68" s="225"/>
      <c r="Y68" s="225"/>
      <c r="Z68" s="225"/>
      <c r="AA68" s="225"/>
      <c r="AB68" s="225"/>
      <c r="AC68" s="225"/>
    </row>
    <row r="69">
      <c r="A69" s="226" t="s">
        <v>405</v>
      </c>
      <c r="B69" s="227" t="s">
        <v>20</v>
      </c>
      <c r="C69" s="93" t="s">
        <v>223</v>
      </c>
      <c r="D69" s="227"/>
      <c r="E69" s="227"/>
      <c r="F69" s="227"/>
      <c r="G69" s="228"/>
      <c r="H69" s="229"/>
      <c r="I69" s="229"/>
      <c r="J69" s="229"/>
      <c r="K69" s="229"/>
      <c r="L69" s="230"/>
      <c r="M69" s="231"/>
      <c r="N69" s="231"/>
      <c r="O69" s="231"/>
      <c r="P69" s="231"/>
      <c r="Q69" s="231"/>
      <c r="R69" s="231"/>
      <c r="S69" s="231"/>
      <c r="T69" s="231"/>
      <c r="U69" s="231"/>
      <c r="V69" s="231"/>
      <c r="W69" s="231"/>
      <c r="X69" s="231"/>
      <c r="Y69" s="231"/>
      <c r="Z69" s="231"/>
      <c r="AA69" s="231"/>
      <c r="AB69" s="231"/>
      <c r="AC69" s="231"/>
    </row>
    <row r="70">
      <c r="A70" s="156" t="s">
        <v>406</v>
      </c>
      <c r="B70" s="157" t="s">
        <v>20</v>
      </c>
      <c r="C70" s="40" t="s">
        <v>407</v>
      </c>
      <c r="D70" s="157"/>
      <c r="E70" s="157"/>
      <c r="F70" s="157"/>
      <c r="G70" s="232"/>
      <c r="H70" s="233"/>
      <c r="I70" s="233"/>
      <c r="J70" s="233"/>
      <c r="K70" s="233"/>
      <c r="L70" s="164"/>
      <c r="M70" s="159"/>
      <c r="N70" s="159"/>
      <c r="O70" s="159"/>
      <c r="P70" s="159"/>
      <c r="Q70" s="159"/>
      <c r="R70" s="159"/>
      <c r="S70" s="159"/>
      <c r="T70" s="159"/>
      <c r="U70" s="159"/>
      <c r="V70" s="159"/>
      <c r="W70" s="159"/>
      <c r="X70" s="159"/>
      <c r="Y70" s="159"/>
      <c r="Z70" s="159"/>
      <c r="AA70" s="159"/>
      <c r="AB70" s="159"/>
      <c r="AC70" s="159"/>
    </row>
    <row r="71">
      <c r="A71" s="156" t="s">
        <v>406</v>
      </c>
      <c r="B71" s="157" t="s">
        <v>20</v>
      </c>
      <c r="C71" s="40" t="s">
        <v>235</v>
      </c>
      <c r="D71" s="157"/>
      <c r="E71" s="157"/>
      <c r="F71" s="157"/>
      <c r="G71" s="232"/>
      <c r="H71" s="233"/>
      <c r="I71" s="233"/>
      <c r="J71" s="233"/>
      <c r="K71" s="233"/>
      <c r="L71" s="158"/>
      <c r="M71" s="159"/>
      <c r="N71" s="159"/>
      <c r="O71" s="159"/>
      <c r="P71" s="159"/>
      <c r="Q71" s="159"/>
      <c r="R71" s="159"/>
      <c r="S71" s="159"/>
      <c r="T71" s="159"/>
      <c r="U71" s="159"/>
      <c r="V71" s="159"/>
      <c r="W71" s="159"/>
      <c r="X71" s="159"/>
      <c r="Y71" s="159"/>
      <c r="Z71" s="159"/>
      <c r="AA71" s="159"/>
      <c r="AB71" s="159"/>
      <c r="AC71" s="159"/>
    </row>
    <row r="72">
      <c r="A72" s="156" t="s">
        <v>406</v>
      </c>
      <c r="B72" s="157" t="s">
        <v>20</v>
      </c>
      <c r="C72" s="40" t="s">
        <v>236</v>
      </c>
      <c r="D72" s="157"/>
      <c r="E72" s="157"/>
      <c r="F72" s="157"/>
      <c r="G72" s="232"/>
      <c r="H72" s="233"/>
      <c r="I72" s="233"/>
      <c r="J72" s="233"/>
      <c r="K72" s="233"/>
      <c r="L72" s="158"/>
      <c r="M72" s="159"/>
      <c r="N72" s="159"/>
      <c r="O72" s="159"/>
      <c r="P72" s="159"/>
      <c r="Q72" s="159"/>
      <c r="R72" s="159"/>
      <c r="S72" s="159"/>
      <c r="T72" s="159"/>
      <c r="U72" s="159"/>
      <c r="V72" s="159"/>
      <c r="W72" s="159"/>
      <c r="X72" s="159"/>
      <c r="Y72" s="159"/>
      <c r="Z72" s="159"/>
      <c r="AA72" s="159"/>
      <c r="AB72" s="159"/>
      <c r="AC72" s="159"/>
    </row>
    <row r="73">
      <c r="A73" s="156" t="s">
        <v>406</v>
      </c>
      <c r="B73" s="157" t="s">
        <v>71</v>
      </c>
      <c r="C73" s="40" t="s">
        <v>238</v>
      </c>
      <c r="D73" s="157"/>
      <c r="E73" s="157"/>
      <c r="F73" s="157"/>
      <c r="G73" s="232"/>
      <c r="H73" s="233"/>
      <c r="I73" s="233"/>
      <c r="J73" s="233"/>
      <c r="K73" s="233"/>
      <c r="L73" s="158"/>
      <c r="M73" s="159"/>
      <c r="N73" s="159"/>
      <c r="O73" s="159"/>
      <c r="P73" s="159"/>
      <c r="Q73" s="159"/>
      <c r="R73" s="159"/>
      <c r="S73" s="159"/>
      <c r="T73" s="159"/>
      <c r="U73" s="159"/>
      <c r="V73" s="159"/>
      <c r="W73" s="159"/>
      <c r="X73" s="159"/>
      <c r="Y73" s="159"/>
      <c r="Z73" s="159"/>
      <c r="AA73" s="159"/>
      <c r="AB73" s="159"/>
      <c r="AC73" s="159"/>
    </row>
    <row r="74">
      <c r="A74" s="156" t="s">
        <v>406</v>
      </c>
      <c r="B74" s="157" t="s">
        <v>71</v>
      </c>
      <c r="C74" s="40" t="s">
        <v>408</v>
      </c>
      <c r="D74" s="157"/>
      <c r="E74" s="157"/>
      <c r="F74" s="157"/>
      <c r="G74" s="232"/>
      <c r="H74" s="233"/>
      <c r="I74" s="233"/>
      <c r="J74" s="233"/>
      <c r="K74" s="233"/>
      <c r="L74" s="158"/>
      <c r="M74" s="159"/>
      <c r="N74" s="159"/>
      <c r="O74" s="159"/>
      <c r="P74" s="159"/>
      <c r="Q74" s="159"/>
      <c r="R74" s="159"/>
      <c r="S74" s="159"/>
      <c r="T74" s="159"/>
      <c r="U74" s="159"/>
      <c r="V74" s="159"/>
      <c r="W74" s="159"/>
      <c r="X74" s="159"/>
      <c r="Y74" s="159"/>
      <c r="Z74" s="159"/>
      <c r="AA74" s="159"/>
      <c r="AB74" s="159"/>
      <c r="AC74" s="159"/>
    </row>
    <row r="75">
      <c r="A75" s="156" t="s">
        <v>406</v>
      </c>
      <c r="B75" s="157" t="s">
        <v>71</v>
      </c>
      <c r="C75" s="40" t="s">
        <v>240</v>
      </c>
      <c r="D75" s="157"/>
      <c r="E75" s="157"/>
      <c r="F75" s="157"/>
      <c r="G75" s="232"/>
      <c r="H75" s="233"/>
      <c r="I75" s="233"/>
      <c r="J75" s="233"/>
      <c r="K75" s="233"/>
      <c r="L75" s="158"/>
      <c r="M75" s="159"/>
      <c r="N75" s="159"/>
      <c r="O75" s="159"/>
      <c r="P75" s="159"/>
      <c r="Q75" s="159"/>
      <c r="R75" s="159"/>
      <c r="S75" s="159"/>
      <c r="T75" s="159"/>
      <c r="U75" s="159"/>
      <c r="V75" s="159"/>
      <c r="W75" s="159"/>
      <c r="X75" s="159"/>
      <c r="Y75" s="159"/>
      <c r="Z75" s="159"/>
      <c r="AA75" s="159"/>
      <c r="AB75" s="159"/>
      <c r="AC75" s="159"/>
    </row>
    <row r="76">
      <c r="A76" s="156" t="s">
        <v>406</v>
      </c>
      <c r="B76" s="157" t="s">
        <v>71</v>
      </c>
      <c r="C76" s="40" t="s">
        <v>241</v>
      </c>
      <c r="D76" s="157"/>
      <c r="E76" s="157"/>
      <c r="F76" s="157"/>
      <c r="G76" s="232"/>
      <c r="H76" s="233"/>
      <c r="I76" s="233"/>
      <c r="J76" s="233"/>
      <c r="K76" s="233"/>
      <c r="L76" s="158"/>
      <c r="M76" s="159"/>
      <c r="N76" s="159"/>
      <c r="O76" s="159"/>
      <c r="P76" s="159"/>
      <c r="Q76" s="159"/>
      <c r="R76" s="159"/>
      <c r="S76" s="159"/>
      <c r="T76" s="159"/>
      <c r="U76" s="159"/>
      <c r="V76" s="159"/>
      <c r="W76" s="159"/>
      <c r="X76" s="159"/>
      <c r="Y76" s="159"/>
      <c r="Z76" s="159"/>
      <c r="AA76" s="159"/>
      <c r="AB76" s="159"/>
      <c r="AC76" s="159"/>
    </row>
    <row r="77">
      <c r="A77" s="162" t="s">
        <v>406</v>
      </c>
      <c r="B77" s="234" t="s">
        <v>71</v>
      </c>
      <c r="C77" s="110" t="s">
        <v>242</v>
      </c>
      <c r="D77" s="234"/>
      <c r="E77" s="234"/>
      <c r="F77" s="234"/>
      <c r="G77" s="235"/>
      <c r="H77" s="236"/>
      <c r="I77" s="236"/>
      <c r="J77" s="236"/>
      <c r="K77" s="236"/>
      <c r="L77" s="237"/>
      <c r="M77" s="238"/>
      <c r="N77" s="238"/>
      <c r="O77" s="238"/>
      <c r="P77" s="238"/>
      <c r="Q77" s="238"/>
      <c r="R77" s="238"/>
      <c r="S77" s="238"/>
      <c r="T77" s="238"/>
      <c r="U77" s="238"/>
      <c r="V77" s="238"/>
      <c r="W77" s="238"/>
      <c r="X77" s="238"/>
      <c r="Y77" s="238"/>
      <c r="Z77" s="238"/>
      <c r="AA77" s="238"/>
      <c r="AB77" s="238"/>
      <c r="AC77" s="238"/>
    </row>
    <row r="78">
      <c r="A78" s="239" t="s">
        <v>409</v>
      </c>
      <c r="B78" s="240" t="s">
        <v>20</v>
      </c>
      <c r="C78" s="119" t="s">
        <v>410</v>
      </c>
      <c r="D78" s="240"/>
      <c r="E78" s="240"/>
      <c r="F78" s="240"/>
      <c r="G78" s="241"/>
      <c r="H78" s="242"/>
      <c r="I78" s="242"/>
      <c r="J78" s="242"/>
      <c r="K78" s="242"/>
      <c r="L78" s="243"/>
      <c r="M78" s="244"/>
      <c r="N78" s="244"/>
      <c r="O78" s="244"/>
      <c r="P78" s="244"/>
      <c r="Q78" s="244"/>
      <c r="R78" s="244"/>
      <c r="S78" s="244"/>
      <c r="T78" s="244"/>
      <c r="U78" s="244"/>
      <c r="V78" s="244"/>
      <c r="W78" s="244"/>
      <c r="X78" s="244"/>
      <c r="Y78" s="244"/>
      <c r="Z78" s="244"/>
      <c r="AA78" s="244"/>
      <c r="AB78" s="244"/>
      <c r="AC78" s="244"/>
    </row>
    <row r="79">
      <c r="A79" s="239" t="s">
        <v>409</v>
      </c>
      <c r="B79" s="240" t="s">
        <v>20</v>
      </c>
      <c r="C79" s="119" t="s">
        <v>411</v>
      </c>
      <c r="D79" s="240"/>
      <c r="E79" s="240"/>
      <c r="F79" s="240"/>
      <c r="G79" s="241"/>
      <c r="H79" s="242"/>
      <c r="I79" s="242"/>
      <c r="J79" s="242"/>
      <c r="K79" s="242"/>
      <c r="L79" s="245"/>
      <c r="M79" s="244"/>
      <c r="N79" s="244"/>
      <c r="O79" s="244"/>
      <c r="P79" s="244"/>
      <c r="Q79" s="244"/>
      <c r="R79" s="244"/>
      <c r="S79" s="244"/>
      <c r="T79" s="244"/>
      <c r="U79" s="244"/>
      <c r="V79" s="244"/>
      <c r="W79" s="244"/>
      <c r="X79" s="244"/>
      <c r="Y79" s="244"/>
      <c r="Z79" s="244"/>
      <c r="AA79" s="244"/>
      <c r="AB79" s="244"/>
      <c r="AC79" s="244"/>
    </row>
    <row r="80">
      <c r="A80" s="239" t="s">
        <v>409</v>
      </c>
      <c r="B80" s="240" t="s">
        <v>71</v>
      </c>
      <c r="C80" s="119" t="s">
        <v>412</v>
      </c>
      <c r="D80" s="240"/>
      <c r="E80" s="240"/>
      <c r="F80" s="240"/>
      <c r="G80" s="241"/>
      <c r="H80" s="242"/>
      <c r="I80" s="242"/>
      <c r="J80" s="242"/>
      <c r="K80" s="242"/>
      <c r="L80" s="245"/>
      <c r="M80" s="244"/>
      <c r="N80" s="244"/>
      <c r="O80" s="244"/>
      <c r="P80" s="244"/>
      <c r="Q80" s="244"/>
      <c r="R80" s="244"/>
      <c r="S80" s="244"/>
      <c r="T80" s="244"/>
      <c r="U80" s="244"/>
      <c r="V80" s="244"/>
      <c r="W80" s="244"/>
      <c r="X80" s="244"/>
      <c r="Y80" s="244"/>
      <c r="Z80" s="244"/>
      <c r="AA80" s="244"/>
      <c r="AB80" s="244"/>
      <c r="AC80" s="244"/>
    </row>
    <row r="81">
      <c r="A81" s="239" t="s">
        <v>409</v>
      </c>
      <c r="B81" s="240" t="s">
        <v>71</v>
      </c>
      <c r="C81" s="119" t="s">
        <v>413</v>
      </c>
      <c r="D81" s="240"/>
      <c r="E81" s="240"/>
      <c r="F81" s="240"/>
      <c r="G81" s="241"/>
      <c r="H81" s="242"/>
      <c r="I81" s="242"/>
      <c r="J81" s="242"/>
      <c r="K81" s="242"/>
      <c r="L81" s="245"/>
      <c r="M81" s="244"/>
      <c r="N81" s="244"/>
      <c r="O81" s="244"/>
      <c r="P81" s="244"/>
      <c r="Q81" s="244"/>
      <c r="R81" s="244"/>
      <c r="S81" s="244"/>
      <c r="T81" s="244"/>
      <c r="U81" s="244"/>
      <c r="V81" s="244"/>
      <c r="W81" s="244"/>
      <c r="X81" s="244"/>
      <c r="Y81" s="244"/>
      <c r="Z81" s="244"/>
      <c r="AA81" s="244"/>
      <c r="AB81" s="244"/>
      <c r="AC81" s="244"/>
    </row>
    <row r="82">
      <c r="A82" s="246" t="s">
        <v>409</v>
      </c>
      <c r="B82" s="247" t="s">
        <v>71</v>
      </c>
      <c r="C82" s="124" t="s">
        <v>414</v>
      </c>
      <c r="D82" s="247"/>
      <c r="E82" s="247"/>
      <c r="F82" s="247"/>
      <c r="G82" s="248"/>
      <c r="H82" s="249"/>
      <c r="I82" s="249"/>
      <c r="J82" s="249"/>
      <c r="K82" s="249"/>
      <c r="L82" s="250"/>
      <c r="M82" s="251"/>
      <c r="N82" s="251"/>
      <c r="O82" s="251"/>
      <c r="P82" s="251"/>
      <c r="Q82" s="251"/>
      <c r="R82" s="251"/>
      <c r="S82" s="251"/>
      <c r="T82" s="251"/>
      <c r="U82" s="251"/>
      <c r="V82" s="251"/>
      <c r="W82" s="251"/>
      <c r="X82" s="251"/>
      <c r="Y82" s="251"/>
      <c r="Z82" s="251"/>
      <c r="AA82" s="251"/>
      <c r="AB82" s="251"/>
      <c r="AC82" s="251"/>
    </row>
    <row r="83">
      <c r="A83" s="128" t="s">
        <v>249</v>
      </c>
      <c r="B83" s="252" t="s">
        <v>20</v>
      </c>
      <c r="C83" s="252" t="s">
        <v>415</v>
      </c>
      <c r="D83" s="252"/>
      <c r="E83" s="252"/>
      <c r="F83" s="252"/>
      <c r="G83" s="253"/>
      <c r="H83" s="254"/>
      <c r="I83" s="254"/>
      <c r="J83" s="254"/>
      <c r="K83" s="254"/>
      <c r="L83" s="255"/>
    </row>
    <row r="84">
      <c r="A84" s="128" t="s">
        <v>249</v>
      </c>
      <c r="B84" s="252" t="s">
        <v>20</v>
      </c>
      <c r="C84" s="252" t="s">
        <v>250</v>
      </c>
      <c r="D84" s="252"/>
      <c r="E84" s="252" t="s">
        <v>416</v>
      </c>
      <c r="F84" s="252"/>
      <c r="G84" s="253"/>
      <c r="H84" s="254"/>
      <c r="I84" s="254"/>
      <c r="J84" s="254"/>
      <c r="K84" s="254"/>
      <c r="L84" s="13"/>
    </row>
    <row r="85">
      <c r="A85" s="128" t="s">
        <v>249</v>
      </c>
      <c r="B85" s="252" t="s">
        <v>20</v>
      </c>
      <c r="C85" s="252" t="s">
        <v>251</v>
      </c>
      <c r="D85" s="252"/>
      <c r="E85" s="252"/>
      <c r="F85" s="252"/>
      <c r="G85" s="253"/>
      <c r="H85" s="254"/>
      <c r="I85" s="254"/>
      <c r="J85" s="254"/>
      <c r="K85" s="254"/>
      <c r="L85" s="13"/>
    </row>
    <row r="86">
      <c r="A86" s="128" t="s">
        <v>249</v>
      </c>
      <c r="B86" s="252" t="s">
        <v>20</v>
      </c>
      <c r="C86" s="252" t="s">
        <v>252</v>
      </c>
      <c r="D86" s="252"/>
      <c r="E86" s="252"/>
      <c r="F86" s="252"/>
      <c r="G86" s="253"/>
      <c r="H86" s="254"/>
      <c r="I86" s="254"/>
      <c r="J86" s="254"/>
      <c r="K86" s="254"/>
      <c r="L86" s="13"/>
    </row>
    <row r="87">
      <c r="A87" s="128" t="s">
        <v>249</v>
      </c>
      <c r="B87" s="252" t="s">
        <v>71</v>
      </c>
      <c r="C87" s="252" t="s">
        <v>253</v>
      </c>
      <c r="D87" s="252"/>
      <c r="E87" s="252"/>
      <c r="F87" s="252"/>
      <c r="G87" s="253"/>
      <c r="H87" s="254"/>
      <c r="I87" s="254"/>
      <c r="J87" s="254"/>
      <c r="K87" s="254"/>
      <c r="L87" s="13"/>
    </row>
    <row r="88">
      <c r="A88" s="128" t="s">
        <v>249</v>
      </c>
      <c r="B88" s="252" t="s">
        <v>20</v>
      </c>
      <c r="C88" s="252" t="s">
        <v>254</v>
      </c>
      <c r="D88" s="252"/>
      <c r="E88" s="252"/>
      <c r="F88" s="252"/>
      <c r="G88" s="253"/>
      <c r="H88" s="254"/>
      <c r="I88" s="254"/>
      <c r="J88" s="254"/>
      <c r="K88" s="254"/>
      <c r="L88" s="13"/>
    </row>
    <row r="89">
      <c r="A89" s="8"/>
      <c r="B89" s="15"/>
      <c r="C89" s="11"/>
      <c r="D89" s="11"/>
      <c r="E89" s="11"/>
      <c r="F89" s="10"/>
      <c r="G89" s="11"/>
      <c r="H89" s="12"/>
      <c r="I89" s="12"/>
      <c r="J89" s="12"/>
      <c r="K89" s="12"/>
      <c r="L89" s="13"/>
    </row>
    <row r="90">
      <c r="A90" s="8"/>
      <c r="B90" s="15"/>
      <c r="C90" s="11"/>
      <c r="D90" s="11"/>
      <c r="E90" s="11"/>
      <c r="F90" s="10"/>
      <c r="G90" s="11"/>
      <c r="H90" s="12"/>
      <c r="I90" s="12"/>
      <c r="J90" s="12"/>
      <c r="K90" s="12"/>
      <c r="L90" s="13"/>
    </row>
    <row r="91">
      <c r="A91" s="8"/>
      <c r="B91" s="15"/>
      <c r="C91" s="11"/>
      <c r="D91" s="11"/>
      <c r="E91" s="11"/>
      <c r="F91" s="10"/>
      <c r="G91" s="11"/>
      <c r="H91" s="12"/>
      <c r="I91" s="12"/>
      <c r="J91" s="12"/>
      <c r="K91" s="12"/>
      <c r="L91" s="13"/>
    </row>
    <row r="92">
      <c r="A92" s="8"/>
      <c r="B92" s="15"/>
      <c r="C92" s="11"/>
      <c r="D92" s="11"/>
      <c r="E92" s="11"/>
      <c r="F92" s="10"/>
      <c r="G92" s="11"/>
      <c r="H92" s="12"/>
      <c r="I92" s="12"/>
      <c r="J92" s="12"/>
      <c r="K92" s="12"/>
      <c r="L92" s="13"/>
    </row>
    <row r="93">
      <c r="A93" s="8"/>
      <c r="B93" s="15"/>
      <c r="C93" s="18"/>
      <c r="D93" s="18"/>
      <c r="E93" s="18"/>
      <c r="F93" s="10"/>
      <c r="G93" s="11"/>
      <c r="H93" s="12"/>
      <c r="I93" s="12"/>
      <c r="J93" s="12"/>
      <c r="K93" s="12"/>
      <c r="L93" s="13"/>
    </row>
    <row r="94">
      <c r="A94" s="8"/>
      <c r="B94" s="15"/>
      <c r="C94" s="18"/>
      <c r="D94" s="18"/>
      <c r="E94" s="18"/>
      <c r="F94" s="10"/>
      <c r="G94" s="11"/>
      <c r="H94" s="12"/>
      <c r="I94" s="12"/>
      <c r="J94" s="12"/>
      <c r="K94" s="12"/>
      <c r="L94" s="13"/>
    </row>
    <row r="95">
      <c r="A95" s="8"/>
      <c r="B95" s="15"/>
      <c r="C95" s="11"/>
      <c r="D95" s="11"/>
      <c r="E95" s="11"/>
      <c r="F95" s="10"/>
      <c r="G95" s="11"/>
      <c r="H95" s="12"/>
      <c r="I95" s="12"/>
      <c r="J95" s="12"/>
      <c r="K95" s="12"/>
      <c r="L95" s="13"/>
    </row>
    <row r="96">
      <c r="A96" s="20"/>
      <c r="B96" s="21"/>
      <c r="C96" s="22"/>
      <c r="D96" s="22"/>
      <c r="E96" s="22"/>
      <c r="F96" s="10"/>
      <c r="G96" s="11"/>
      <c r="H96" s="12"/>
      <c r="I96" s="12"/>
      <c r="J96" s="12"/>
      <c r="K96" s="12"/>
      <c r="L96" s="13"/>
    </row>
    <row r="97">
      <c r="A97" s="20"/>
      <c r="B97" s="21"/>
      <c r="C97" s="22"/>
      <c r="D97" s="22"/>
      <c r="E97" s="22"/>
      <c r="F97" s="10"/>
      <c r="G97" s="11"/>
      <c r="H97" s="12"/>
      <c r="I97" s="12"/>
      <c r="J97" s="12"/>
      <c r="K97" s="12"/>
      <c r="L97" s="13"/>
    </row>
    <row r="98">
      <c r="A98" s="20"/>
      <c r="B98" s="21"/>
      <c r="C98" s="22"/>
      <c r="D98" s="22"/>
      <c r="E98" s="22"/>
      <c r="F98" s="10"/>
      <c r="G98" s="11"/>
      <c r="H98" s="12"/>
      <c r="I98" s="12"/>
      <c r="J98" s="12"/>
      <c r="K98" s="12"/>
      <c r="L98" s="13"/>
    </row>
    <row r="99">
      <c r="A99" s="20"/>
      <c r="B99" s="21"/>
      <c r="C99" s="22"/>
      <c r="D99" s="22"/>
      <c r="E99" s="22"/>
      <c r="F99" s="10"/>
      <c r="G99" s="11"/>
      <c r="H99" s="12"/>
      <c r="I99" s="12"/>
      <c r="J99" s="12"/>
      <c r="K99" s="12"/>
      <c r="L99" s="13"/>
    </row>
    <row r="100">
      <c r="A100" s="20"/>
      <c r="B100" s="21"/>
      <c r="C100" s="22"/>
      <c r="D100" s="22"/>
      <c r="E100" s="22"/>
      <c r="F100" s="10"/>
      <c r="G100" s="11"/>
      <c r="H100" s="12"/>
      <c r="I100" s="12"/>
      <c r="J100" s="12"/>
      <c r="K100" s="12"/>
      <c r="L100" s="13"/>
    </row>
    <row r="101">
      <c r="A101" s="20"/>
      <c r="B101" s="21"/>
      <c r="C101" s="22"/>
      <c r="D101" s="22"/>
      <c r="E101" s="22"/>
      <c r="F101" s="10"/>
      <c r="G101" s="11"/>
      <c r="H101" s="12"/>
      <c r="I101" s="12"/>
      <c r="J101" s="12"/>
      <c r="K101" s="12"/>
      <c r="L101" s="13"/>
    </row>
    <row r="102">
      <c r="A102" s="20"/>
      <c r="B102" s="21"/>
      <c r="C102" s="22"/>
      <c r="D102" s="22"/>
      <c r="E102" s="22"/>
      <c r="F102" s="10"/>
      <c r="G102" s="11"/>
      <c r="H102" s="12"/>
      <c r="I102" s="12"/>
      <c r="J102" s="12"/>
      <c r="K102" s="12"/>
      <c r="L102" s="13"/>
    </row>
    <row r="103">
      <c r="A103" s="20"/>
      <c r="B103" s="21"/>
      <c r="C103" s="22"/>
      <c r="D103" s="22"/>
      <c r="E103" s="22"/>
      <c r="F103" s="10"/>
      <c r="G103" s="11"/>
      <c r="H103" s="12"/>
      <c r="I103" s="12"/>
      <c r="J103" s="12"/>
      <c r="K103" s="12"/>
      <c r="L103" s="13"/>
    </row>
    <row r="104">
      <c r="A104" s="23"/>
      <c r="B104" s="24"/>
      <c r="C104" s="25"/>
      <c r="D104" s="25"/>
      <c r="E104" s="25"/>
      <c r="F104" s="10"/>
      <c r="G104" s="11"/>
      <c r="H104" s="12"/>
      <c r="I104" s="12"/>
      <c r="J104" s="12"/>
      <c r="K104" s="12"/>
      <c r="L104" s="13"/>
    </row>
    <row r="105">
      <c r="A105" s="23"/>
      <c r="B105" s="24"/>
      <c r="C105" s="26"/>
      <c r="D105" s="26"/>
      <c r="E105" s="26"/>
      <c r="F105" s="10"/>
      <c r="G105" s="11"/>
      <c r="H105" s="12"/>
      <c r="I105" s="12"/>
      <c r="J105" s="12"/>
      <c r="K105" s="12"/>
      <c r="L105" s="13"/>
    </row>
    <row r="106">
      <c r="A106" s="23"/>
      <c r="B106" s="24"/>
      <c r="C106" s="25"/>
      <c r="D106" s="25"/>
      <c r="E106" s="25"/>
      <c r="F106" s="10"/>
      <c r="G106" s="11"/>
      <c r="H106" s="12"/>
      <c r="I106" s="12"/>
      <c r="J106" s="12"/>
      <c r="K106" s="12"/>
      <c r="L106" s="13"/>
    </row>
    <row r="107">
      <c r="A107" s="27"/>
      <c r="B107" s="28"/>
      <c r="C107" s="29"/>
      <c r="D107" s="29"/>
      <c r="E107" s="29"/>
      <c r="F107" s="10"/>
      <c r="G107" s="11"/>
      <c r="H107" s="12"/>
      <c r="I107" s="12"/>
      <c r="J107" s="12"/>
      <c r="K107" s="12"/>
      <c r="L107" s="13"/>
    </row>
    <row r="108">
      <c r="A108" s="27"/>
      <c r="B108" s="28"/>
      <c r="C108" s="29"/>
      <c r="D108" s="29"/>
      <c r="E108" s="29"/>
      <c r="F108" s="10"/>
      <c r="G108" s="11"/>
      <c r="H108" s="12"/>
      <c r="I108" s="12"/>
      <c r="J108" s="12"/>
      <c r="K108" s="12"/>
      <c r="L108" s="13"/>
    </row>
    <row r="109">
      <c r="A109" s="27"/>
      <c r="B109" s="28"/>
      <c r="C109" s="29"/>
      <c r="D109" s="29"/>
      <c r="E109" s="29"/>
      <c r="F109" s="10"/>
      <c r="G109" s="11"/>
      <c r="H109" s="12"/>
      <c r="I109" s="12"/>
      <c r="J109" s="12"/>
      <c r="K109" s="12"/>
      <c r="L109" s="13"/>
    </row>
    <row r="110">
      <c r="A110" s="27"/>
      <c r="B110" s="28"/>
      <c r="C110" s="29"/>
      <c r="D110" s="29"/>
      <c r="E110" s="29"/>
      <c r="F110" s="10"/>
      <c r="G110" s="11"/>
      <c r="H110" s="12"/>
      <c r="I110" s="12"/>
      <c r="J110" s="12"/>
      <c r="K110" s="12"/>
      <c r="L110" s="13"/>
    </row>
    <row r="111">
      <c r="A111" s="27"/>
      <c r="B111" s="28"/>
      <c r="C111" s="29"/>
      <c r="D111" s="29"/>
      <c r="E111" s="29"/>
      <c r="F111" s="10"/>
      <c r="G111" s="11"/>
      <c r="H111" s="12"/>
      <c r="I111" s="12"/>
      <c r="J111" s="12"/>
      <c r="K111" s="12"/>
      <c r="L111" s="13"/>
    </row>
    <row r="112">
      <c r="A112" s="27"/>
      <c r="B112" s="28"/>
      <c r="C112" s="29"/>
      <c r="D112" s="29"/>
      <c r="E112" s="29"/>
      <c r="F112" s="10"/>
      <c r="G112" s="11"/>
      <c r="H112" s="12"/>
      <c r="I112" s="12"/>
      <c r="J112" s="12"/>
      <c r="K112" s="12"/>
      <c r="L112" s="13"/>
    </row>
    <row r="113">
      <c r="A113" s="27"/>
      <c r="B113" s="28"/>
      <c r="C113" s="29"/>
      <c r="D113" s="29"/>
      <c r="E113" s="29"/>
      <c r="F113" s="10"/>
      <c r="G113" s="11"/>
      <c r="H113" s="12"/>
      <c r="I113" s="12"/>
      <c r="J113" s="12"/>
      <c r="K113" s="12"/>
      <c r="L113" s="13"/>
    </row>
    <row r="114">
      <c r="A114" s="27"/>
      <c r="B114" s="28"/>
      <c r="C114" s="29"/>
      <c r="D114" s="29"/>
      <c r="E114" s="29"/>
      <c r="F114" s="10"/>
      <c r="G114" s="11"/>
      <c r="H114" s="12"/>
      <c r="I114" s="12"/>
      <c r="J114" s="12"/>
      <c r="K114" s="12"/>
      <c r="L114" s="13"/>
    </row>
    <row r="115">
      <c r="A115" s="27"/>
      <c r="B115" s="28"/>
      <c r="C115" s="29"/>
      <c r="D115" s="29"/>
      <c r="E115" s="29"/>
      <c r="F115" s="10"/>
      <c r="G115" s="11"/>
      <c r="H115" s="12"/>
      <c r="I115" s="12"/>
      <c r="J115" s="12"/>
      <c r="K115" s="12"/>
      <c r="L115" s="13"/>
    </row>
    <row r="116">
      <c r="A116" s="30"/>
      <c r="B116" s="12"/>
      <c r="C116" s="31"/>
      <c r="D116" s="31"/>
      <c r="E116" s="31"/>
      <c r="F116" s="12"/>
      <c r="G116" s="31"/>
      <c r="H116" s="12"/>
      <c r="I116" s="12"/>
      <c r="J116" s="12"/>
      <c r="K116" s="12"/>
      <c r="L116" s="13"/>
    </row>
    <row r="117">
      <c r="A117" s="30"/>
      <c r="B117" s="12"/>
      <c r="C117" s="31"/>
      <c r="D117" s="31"/>
      <c r="E117" s="31"/>
      <c r="F117" s="12"/>
      <c r="G117" s="31"/>
      <c r="H117" s="12"/>
      <c r="I117" s="12"/>
      <c r="J117" s="12"/>
      <c r="K117" s="12"/>
      <c r="L117" s="13"/>
    </row>
    <row r="118">
      <c r="A118" s="30"/>
      <c r="B118" s="12"/>
      <c r="C118" s="31"/>
      <c r="D118" s="31"/>
      <c r="E118" s="31"/>
      <c r="F118" s="12"/>
      <c r="G118" s="31"/>
      <c r="H118" s="12"/>
      <c r="I118" s="12"/>
      <c r="J118" s="12"/>
      <c r="K118" s="12"/>
      <c r="L118" s="13"/>
    </row>
    <row r="119">
      <c r="A119" s="17" t="s">
        <v>57</v>
      </c>
      <c r="B119" s="12"/>
      <c r="C119" s="31"/>
      <c r="D119" s="31"/>
      <c r="E119" s="31"/>
      <c r="F119" s="12"/>
      <c r="G119" s="31"/>
      <c r="H119" s="12"/>
      <c r="I119" s="12"/>
      <c r="J119" s="12"/>
      <c r="K119" s="12"/>
      <c r="L119" s="13"/>
    </row>
    <row r="120">
      <c r="A120" s="17" t="s">
        <v>53</v>
      </c>
      <c r="B120" s="12"/>
      <c r="C120" s="34"/>
      <c r="D120" s="31"/>
      <c r="E120" s="31"/>
      <c r="F120" s="12"/>
      <c r="G120" s="31"/>
      <c r="H120" s="12"/>
      <c r="I120" s="12"/>
      <c r="J120" s="12"/>
      <c r="K120" s="12"/>
      <c r="L120" s="13"/>
    </row>
    <row r="121">
      <c r="A121" s="17" t="s">
        <v>58</v>
      </c>
      <c r="B121" s="12"/>
      <c r="C121" s="34"/>
      <c r="D121" s="31"/>
      <c r="E121" s="31"/>
      <c r="F121" s="12"/>
      <c r="G121" s="31"/>
      <c r="H121" s="12"/>
      <c r="I121" s="12"/>
      <c r="J121" s="12"/>
      <c r="K121" s="12"/>
      <c r="L121" s="13"/>
    </row>
    <row r="122">
      <c r="A122" s="32" t="s">
        <v>59</v>
      </c>
      <c r="B122" s="33"/>
      <c r="C122" s="34"/>
      <c r="D122" s="34"/>
      <c r="E122" s="34"/>
      <c r="F122" s="33"/>
      <c r="G122" s="34"/>
      <c r="H122" s="33"/>
      <c r="I122" s="33"/>
      <c r="J122" s="33"/>
      <c r="K122" s="33"/>
      <c r="L122" s="35"/>
    </row>
    <row r="123">
      <c r="C123" s="3"/>
      <c r="D123" s="3"/>
      <c r="E123" s="3"/>
      <c r="G123" s="3"/>
    </row>
    <row r="124">
      <c r="C124" s="3"/>
      <c r="D124" s="3"/>
      <c r="E124" s="3"/>
      <c r="G124" s="3"/>
    </row>
    <row r="125">
      <c r="C125" s="3"/>
      <c r="D125" s="3"/>
      <c r="E125" s="3"/>
      <c r="G125" s="3"/>
    </row>
    <row r="126">
      <c r="C126" s="3"/>
      <c r="D126" s="3"/>
      <c r="E126" s="3"/>
      <c r="G126" s="3"/>
    </row>
    <row r="127">
      <c r="C127" s="3"/>
      <c r="D127" s="3"/>
      <c r="E127" s="3"/>
      <c r="G127" s="36" t="s">
        <v>60</v>
      </c>
    </row>
    <row r="128">
      <c r="C128" s="3"/>
      <c r="D128" s="3"/>
      <c r="E128" s="3"/>
      <c r="G128" s="11" t="s">
        <v>61</v>
      </c>
    </row>
    <row r="129">
      <c r="C129" s="3"/>
      <c r="D129" s="3"/>
      <c r="E129" s="3"/>
      <c r="G129" s="11" t="s">
        <v>62</v>
      </c>
    </row>
    <row r="130">
      <c r="C130" s="3"/>
      <c r="D130" s="3"/>
      <c r="E130" s="3"/>
      <c r="G130" s="11" t="s">
        <v>63</v>
      </c>
    </row>
    <row r="131">
      <c r="C131" s="3"/>
      <c r="D131" s="3"/>
      <c r="E131" s="3"/>
      <c r="G131" s="3"/>
    </row>
    <row r="132">
      <c r="C132" s="3"/>
      <c r="D132" s="3"/>
      <c r="E132" s="3"/>
      <c r="G132" s="3"/>
    </row>
    <row r="133">
      <c r="C133" s="3"/>
      <c r="D133" s="3"/>
      <c r="E133" s="3"/>
      <c r="G133" s="3"/>
    </row>
    <row r="134">
      <c r="C134" s="3"/>
      <c r="D134" s="3"/>
      <c r="E134" s="3"/>
      <c r="G134" s="3"/>
    </row>
    <row r="135">
      <c r="C135" s="3"/>
      <c r="D135" s="3"/>
      <c r="E135" s="3"/>
      <c r="G135" s="3"/>
    </row>
    <row r="136">
      <c r="C136" s="3"/>
      <c r="D136" s="3"/>
      <c r="E136" s="3"/>
      <c r="G136" s="3"/>
    </row>
    <row r="137">
      <c r="C137" s="3"/>
      <c r="D137" s="3"/>
      <c r="E137" s="3"/>
      <c r="G137" s="3"/>
    </row>
    <row r="138">
      <c r="C138" s="3"/>
      <c r="D138" s="3"/>
      <c r="E138" s="3"/>
      <c r="G138" s="3"/>
    </row>
    <row r="139">
      <c r="C139" s="3"/>
      <c r="D139" s="3"/>
      <c r="E139" s="3"/>
      <c r="G139" s="3"/>
    </row>
    <row r="140">
      <c r="C140" s="3"/>
      <c r="D140" s="3"/>
      <c r="E140" s="3"/>
      <c r="G140" s="3"/>
    </row>
    <row r="141">
      <c r="C141" s="3"/>
      <c r="D141" s="3"/>
      <c r="E141" s="3"/>
      <c r="G141" s="3"/>
    </row>
    <row r="142">
      <c r="C142" s="3"/>
      <c r="D142" s="3"/>
      <c r="E142" s="3"/>
      <c r="G142" s="3"/>
    </row>
    <row r="143">
      <c r="C143" s="3"/>
      <c r="D143" s="3"/>
      <c r="E143" s="3"/>
      <c r="G143" s="3"/>
    </row>
    <row r="144">
      <c r="C144" s="3"/>
      <c r="D144" s="3"/>
      <c r="E144" s="3"/>
      <c r="G144" s="3"/>
    </row>
    <row r="145">
      <c r="C145" s="3"/>
      <c r="D145" s="3"/>
      <c r="E145" s="3"/>
      <c r="G145" s="3"/>
    </row>
    <row r="146">
      <c r="C146" s="3"/>
      <c r="D146" s="3"/>
      <c r="E146" s="3"/>
      <c r="G146" s="3"/>
    </row>
    <row r="147">
      <c r="C147" s="3"/>
      <c r="D147" s="3"/>
      <c r="E147" s="3"/>
      <c r="G147" s="3"/>
    </row>
    <row r="148">
      <c r="C148" s="3"/>
      <c r="D148" s="3"/>
      <c r="E148" s="3"/>
      <c r="G148" s="3"/>
    </row>
    <row r="149">
      <c r="C149" s="3"/>
      <c r="D149" s="3"/>
      <c r="E149" s="3"/>
      <c r="G149" s="3"/>
    </row>
    <row r="150">
      <c r="C150" s="3"/>
      <c r="D150" s="3"/>
      <c r="E150" s="3"/>
      <c r="G150" s="3"/>
    </row>
    <row r="151">
      <c r="C151" s="3"/>
      <c r="D151" s="3"/>
      <c r="E151" s="3"/>
      <c r="G151" s="3"/>
    </row>
    <row r="152">
      <c r="C152" s="3"/>
      <c r="D152" s="3"/>
      <c r="E152" s="3"/>
      <c r="G152" s="3"/>
    </row>
    <row r="153">
      <c r="C153" s="3"/>
      <c r="D153" s="3"/>
      <c r="E153" s="3"/>
      <c r="G153" s="3"/>
    </row>
    <row r="154">
      <c r="C154" s="3"/>
      <c r="D154" s="3"/>
      <c r="E154" s="3"/>
      <c r="G154" s="3"/>
    </row>
    <row r="155">
      <c r="C155" s="3"/>
      <c r="D155" s="3"/>
      <c r="E155" s="3"/>
      <c r="G155" s="3"/>
    </row>
    <row r="156">
      <c r="C156" s="3"/>
      <c r="D156" s="3"/>
      <c r="E156" s="3"/>
      <c r="G156" s="3"/>
    </row>
    <row r="157">
      <c r="C157" s="3"/>
      <c r="D157" s="3"/>
      <c r="E157" s="3"/>
      <c r="G157" s="3"/>
    </row>
    <row r="158">
      <c r="C158" s="3"/>
      <c r="D158" s="3"/>
      <c r="E158" s="3"/>
      <c r="G158" s="3"/>
    </row>
    <row r="159">
      <c r="C159" s="3"/>
      <c r="D159" s="3"/>
      <c r="E159" s="3"/>
      <c r="G159" s="3"/>
    </row>
    <row r="160">
      <c r="C160" s="3"/>
      <c r="D160" s="3"/>
      <c r="E160" s="3"/>
      <c r="G160" s="3"/>
    </row>
    <row r="161">
      <c r="C161" s="3"/>
      <c r="D161" s="3"/>
      <c r="E161" s="3"/>
      <c r="G161" s="3"/>
    </row>
    <row r="162">
      <c r="C162" s="3"/>
      <c r="D162" s="3"/>
      <c r="E162" s="3"/>
      <c r="G162" s="3"/>
    </row>
    <row r="163">
      <c r="C163" s="3"/>
      <c r="D163" s="3"/>
      <c r="E163" s="3"/>
      <c r="G163" s="3"/>
    </row>
    <row r="164">
      <c r="C164" s="3"/>
      <c r="D164" s="3"/>
      <c r="E164" s="3"/>
      <c r="G164" s="3"/>
    </row>
    <row r="165">
      <c r="C165" s="3"/>
      <c r="D165" s="3"/>
      <c r="E165" s="3"/>
      <c r="G165" s="3"/>
    </row>
    <row r="166">
      <c r="C166" s="3"/>
      <c r="D166" s="3"/>
      <c r="E166" s="3"/>
      <c r="G166" s="3"/>
    </row>
    <row r="167">
      <c r="C167" s="3"/>
      <c r="D167" s="3"/>
      <c r="E167" s="3"/>
      <c r="G167" s="3"/>
    </row>
    <row r="168">
      <c r="C168" s="3"/>
      <c r="D168" s="3"/>
      <c r="E168" s="3"/>
      <c r="G168" s="3"/>
    </row>
    <row r="169">
      <c r="C169" s="3"/>
      <c r="D169" s="3"/>
      <c r="E169" s="3"/>
      <c r="G169" s="3"/>
    </row>
    <row r="170">
      <c r="C170" s="3"/>
      <c r="D170" s="3"/>
      <c r="E170" s="3"/>
      <c r="G170" s="3"/>
    </row>
    <row r="171">
      <c r="C171" s="3"/>
      <c r="D171" s="3"/>
      <c r="E171" s="3"/>
      <c r="G171" s="3"/>
    </row>
    <row r="172">
      <c r="C172" s="3"/>
      <c r="D172" s="3"/>
      <c r="E172" s="3"/>
      <c r="G172" s="3"/>
    </row>
    <row r="173">
      <c r="C173" s="3"/>
      <c r="D173" s="3"/>
      <c r="E173" s="3"/>
      <c r="G173" s="3"/>
    </row>
    <row r="174">
      <c r="C174" s="3"/>
      <c r="D174" s="3"/>
      <c r="E174" s="3"/>
      <c r="G174" s="3"/>
    </row>
    <row r="175">
      <c r="C175" s="3"/>
      <c r="D175" s="3"/>
      <c r="E175" s="3"/>
      <c r="G175" s="3"/>
    </row>
    <row r="176">
      <c r="C176" s="3"/>
      <c r="D176" s="3"/>
      <c r="E176" s="3"/>
      <c r="G176" s="3"/>
    </row>
    <row r="177">
      <c r="C177" s="3"/>
      <c r="D177" s="3"/>
      <c r="E177" s="3"/>
      <c r="G177" s="3"/>
    </row>
    <row r="178">
      <c r="C178" s="3"/>
      <c r="D178" s="3"/>
      <c r="E178" s="3"/>
      <c r="G178" s="3"/>
    </row>
    <row r="179">
      <c r="C179" s="3"/>
      <c r="D179" s="3"/>
      <c r="E179" s="3"/>
      <c r="G179" s="3"/>
    </row>
    <row r="180">
      <c r="C180" s="3"/>
      <c r="D180" s="3"/>
      <c r="E180" s="3"/>
      <c r="G180" s="3"/>
    </row>
    <row r="181">
      <c r="C181" s="3"/>
      <c r="D181" s="3"/>
      <c r="E181" s="3"/>
      <c r="G181" s="3"/>
    </row>
    <row r="182">
      <c r="C182" s="3"/>
      <c r="D182" s="3"/>
      <c r="E182" s="3"/>
      <c r="G182" s="3"/>
    </row>
    <row r="183">
      <c r="C183" s="3"/>
      <c r="D183" s="3"/>
      <c r="E183" s="3"/>
      <c r="G183" s="3"/>
    </row>
    <row r="184">
      <c r="C184" s="3"/>
      <c r="D184" s="3"/>
      <c r="E184" s="3"/>
      <c r="G184" s="3"/>
    </row>
    <row r="185">
      <c r="C185" s="3"/>
      <c r="D185" s="3"/>
      <c r="E185" s="3"/>
      <c r="G185" s="3"/>
    </row>
    <row r="186">
      <c r="C186" s="3"/>
      <c r="D186" s="3"/>
      <c r="E186" s="3"/>
      <c r="G186" s="3"/>
    </row>
    <row r="187">
      <c r="C187" s="3"/>
      <c r="D187" s="3"/>
      <c r="E187" s="3"/>
      <c r="G187" s="3"/>
    </row>
    <row r="188">
      <c r="C188" s="3"/>
      <c r="D188" s="3"/>
      <c r="E188" s="3"/>
      <c r="G188" s="3"/>
    </row>
    <row r="189">
      <c r="C189" s="3"/>
      <c r="D189" s="3"/>
      <c r="E189" s="3"/>
      <c r="G189" s="3"/>
    </row>
    <row r="190">
      <c r="C190" s="3"/>
      <c r="D190" s="3"/>
      <c r="E190" s="3"/>
      <c r="G190" s="3"/>
    </row>
    <row r="191">
      <c r="C191" s="3"/>
      <c r="D191" s="3"/>
      <c r="E191" s="3"/>
      <c r="G191" s="3"/>
    </row>
    <row r="192">
      <c r="C192" s="3"/>
      <c r="D192" s="3"/>
      <c r="E192" s="3"/>
      <c r="G192" s="3"/>
    </row>
    <row r="193">
      <c r="C193" s="3"/>
      <c r="D193" s="3"/>
      <c r="E193" s="3"/>
      <c r="G193" s="3"/>
    </row>
    <row r="194">
      <c r="C194" s="3"/>
      <c r="D194" s="3"/>
      <c r="E194" s="3"/>
      <c r="G194" s="3"/>
    </row>
    <row r="195">
      <c r="C195" s="3"/>
      <c r="D195" s="3"/>
      <c r="E195" s="3"/>
      <c r="G195" s="3"/>
    </row>
    <row r="196">
      <c r="C196" s="3"/>
      <c r="D196" s="3"/>
      <c r="E196" s="3"/>
      <c r="G196" s="3"/>
    </row>
    <row r="197">
      <c r="C197" s="3"/>
      <c r="D197" s="3"/>
      <c r="E197" s="3"/>
      <c r="G197" s="3"/>
    </row>
    <row r="198">
      <c r="C198" s="3"/>
      <c r="D198" s="3"/>
      <c r="E198" s="3"/>
      <c r="G198" s="3"/>
    </row>
    <row r="199">
      <c r="C199" s="3"/>
      <c r="D199" s="3"/>
      <c r="E199" s="3"/>
      <c r="G199" s="3"/>
    </row>
    <row r="200">
      <c r="C200" s="3"/>
      <c r="D200" s="3"/>
      <c r="E200" s="3"/>
      <c r="G200" s="3"/>
    </row>
    <row r="201">
      <c r="C201" s="3"/>
      <c r="D201" s="3"/>
      <c r="E201" s="3"/>
      <c r="G201" s="3"/>
    </row>
    <row r="202">
      <c r="C202" s="3"/>
      <c r="D202" s="3"/>
      <c r="E202" s="3"/>
      <c r="G202" s="3"/>
    </row>
    <row r="203">
      <c r="C203" s="3"/>
      <c r="D203" s="3"/>
      <c r="E203" s="3"/>
      <c r="G203" s="3"/>
    </row>
    <row r="204">
      <c r="C204" s="3"/>
      <c r="D204" s="3"/>
      <c r="E204" s="3"/>
      <c r="G204" s="3"/>
    </row>
    <row r="205">
      <c r="C205" s="3"/>
      <c r="D205" s="3"/>
      <c r="E205" s="3"/>
      <c r="G205" s="3"/>
    </row>
    <row r="206">
      <c r="C206" s="3"/>
      <c r="D206" s="3"/>
      <c r="E206" s="3"/>
      <c r="G206" s="3"/>
    </row>
    <row r="207">
      <c r="C207" s="3"/>
      <c r="D207" s="3"/>
      <c r="E207" s="3"/>
      <c r="G207" s="3"/>
    </row>
    <row r="208">
      <c r="C208" s="3"/>
      <c r="D208" s="3"/>
      <c r="E208" s="3"/>
      <c r="G208" s="3"/>
    </row>
    <row r="209">
      <c r="C209" s="3"/>
      <c r="D209" s="3"/>
      <c r="E209" s="3"/>
      <c r="G209" s="3"/>
    </row>
    <row r="210">
      <c r="C210" s="3"/>
      <c r="D210" s="3"/>
      <c r="E210" s="3"/>
      <c r="G210" s="3"/>
    </row>
    <row r="211">
      <c r="C211" s="3"/>
      <c r="D211" s="3"/>
      <c r="E211" s="3"/>
      <c r="G211" s="3"/>
    </row>
    <row r="212">
      <c r="C212" s="3"/>
      <c r="D212" s="3"/>
      <c r="E212" s="3"/>
      <c r="G212" s="3"/>
    </row>
    <row r="213">
      <c r="C213" s="3"/>
      <c r="D213" s="3"/>
      <c r="E213" s="3"/>
      <c r="G213" s="3"/>
    </row>
    <row r="214">
      <c r="C214" s="3"/>
      <c r="D214" s="3"/>
      <c r="E214" s="3"/>
      <c r="G214" s="3"/>
    </row>
    <row r="215">
      <c r="C215" s="3"/>
      <c r="D215" s="3"/>
      <c r="E215" s="3"/>
      <c r="G215" s="3"/>
    </row>
    <row r="216">
      <c r="C216" s="3"/>
      <c r="D216" s="3"/>
      <c r="E216" s="3"/>
      <c r="G216" s="3"/>
    </row>
    <row r="217">
      <c r="C217" s="3"/>
      <c r="D217" s="3"/>
      <c r="E217" s="3"/>
      <c r="G217" s="3"/>
    </row>
    <row r="218">
      <c r="C218" s="3"/>
      <c r="D218" s="3"/>
      <c r="E218" s="3"/>
      <c r="G218" s="3"/>
    </row>
    <row r="219">
      <c r="C219" s="3"/>
      <c r="D219" s="3"/>
      <c r="E219" s="3"/>
      <c r="G219" s="3"/>
    </row>
    <row r="220">
      <c r="C220" s="3"/>
      <c r="D220" s="3"/>
      <c r="E220" s="3"/>
      <c r="G220" s="3"/>
    </row>
    <row r="221">
      <c r="C221" s="3"/>
      <c r="D221" s="3"/>
      <c r="E221" s="3"/>
      <c r="G221" s="3"/>
    </row>
    <row r="222">
      <c r="C222" s="3"/>
      <c r="D222" s="3"/>
      <c r="E222" s="3"/>
      <c r="G222" s="3"/>
    </row>
    <row r="223">
      <c r="C223" s="3"/>
      <c r="D223" s="3"/>
      <c r="E223" s="3"/>
      <c r="G223" s="3"/>
    </row>
    <row r="224">
      <c r="C224" s="3"/>
      <c r="D224" s="3"/>
      <c r="E224" s="3"/>
      <c r="G224" s="3"/>
    </row>
    <row r="225">
      <c r="C225" s="3"/>
      <c r="D225" s="3"/>
      <c r="E225" s="3"/>
      <c r="G225" s="3"/>
    </row>
    <row r="226">
      <c r="C226" s="3"/>
      <c r="D226" s="3"/>
      <c r="E226" s="3"/>
      <c r="G226" s="3"/>
    </row>
    <row r="227">
      <c r="C227" s="3"/>
      <c r="D227" s="3"/>
      <c r="E227" s="3"/>
      <c r="G227" s="3"/>
    </row>
    <row r="228">
      <c r="C228" s="3"/>
      <c r="D228" s="3"/>
      <c r="E228" s="3"/>
      <c r="G228" s="3"/>
    </row>
    <row r="229">
      <c r="C229" s="3"/>
      <c r="D229" s="3"/>
      <c r="E229" s="3"/>
      <c r="G229" s="3"/>
    </row>
    <row r="230">
      <c r="C230" s="3"/>
      <c r="D230" s="3"/>
      <c r="E230" s="3"/>
      <c r="G230" s="3"/>
    </row>
    <row r="231">
      <c r="C231" s="3"/>
      <c r="D231" s="3"/>
      <c r="E231" s="3"/>
      <c r="G231" s="3"/>
    </row>
    <row r="232">
      <c r="C232" s="3"/>
      <c r="D232" s="3"/>
      <c r="E232" s="3"/>
      <c r="G232" s="3"/>
    </row>
    <row r="233">
      <c r="C233" s="3"/>
      <c r="D233" s="3"/>
      <c r="E233" s="3"/>
      <c r="G233" s="3"/>
    </row>
    <row r="234">
      <c r="C234" s="3"/>
      <c r="D234" s="3"/>
      <c r="E234" s="3"/>
      <c r="G234" s="3"/>
    </row>
    <row r="235">
      <c r="C235" s="3"/>
      <c r="D235" s="3"/>
      <c r="E235" s="3"/>
      <c r="G235" s="3"/>
    </row>
    <row r="236">
      <c r="C236" s="3"/>
      <c r="D236" s="3"/>
      <c r="E236" s="3"/>
      <c r="G236" s="3"/>
    </row>
    <row r="237">
      <c r="C237" s="3"/>
      <c r="D237" s="3"/>
      <c r="E237" s="3"/>
      <c r="G237" s="3"/>
    </row>
    <row r="238">
      <c r="C238" s="3"/>
      <c r="D238" s="3"/>
      <c r="E238" s="3"/>
      <c r="G238" s="3"/>
    </row>
    <row r="239">
      <c r="C239" s="3"/>
      <c r="D239" s="3"/>
      <c r="E239" s="3"/>
      <c r="G239" s="3"/>
    </row>
    <row r="240">
      <c r="C240" s="3"/>
      <c r="D240" s="3"/>
      <c r="E240" s="3"/>
      <c r="G240" s="3"/>
    </row>
    <row r="241">
      <c r="C241" s="3"/>
      <c r="D241" s="3"/>
      <c r="E241" s="3"/>
      <c r="G241" s="3"/>
    </row>
    <row r="242">
      <c r="C242" s="3"/>
      <c r="D242" s="3"/>
      <c r="E242" s="3"/>
      <c r="G242" s="3"/>
    </row>
    <row r="243">
      <c r="C243" s="3"/>
      <c r="D243" s="3"/>
      <c r="E243" s="3"/>
      <c r="G243" s="3"/>
    </row>
    <row r="244">
      <c r="C244" s="3"/>
      <c r="D244" s="3"/>
      <c r="E244" s="3"/>
      <c r="G244" s="3"/>
    </row>
    <row r="245">
      <c r="C245" s="3"/>
      <c r="D245" s="3"/>
      <c r="E245" s="3"/>
      <c r="G245" s="3"/>
    </row>
    <row r="246">
      <c r="C246" s="3"/>
      <c r="D246" s="3"/>
      <c r="E246" s="3"/>
      <c r="G246" s="3"/>
    </row>
    <row r="247">
      <c r="C247" s="3"/>
      <c r="D247" s="3"/>
      <c r="E247" s="3"/>
      <c r="G247" s="3"/>
    </row>
    <row r="248">
      <c r="C248" s="3"/>
      <c r="D248" s="3"/>
      <c r="E248" s="3"/>
      <c r="G248" s="3"/>
    </row>
    <row r="249">
      <c r="C249" s="3"/>
      <c r="D249" s="3"/>
      <c r="E249" s="3"/>
      <c r="G249" s="3"/>
    </row>
    <row r="250">
      <c r="C250" s="3"/>
      <c r="D250" s="3"/>
      <c r="E250" s="3"/>
      <c r="G250" s="3"/>
    </row>
    <row r="251">
      <c r="C251" s="3"/>
      <c r="D251" s="3"/>
      <c r="E251" s="3"/>
      <c r="G251" s="3"/>
    </row>
    <row r="252">
      <c r="C252" s="3"/>
      <c r="D252" s="3"/>
      <c r="E252" s="3"/>
      <c r="G252" s="3"/>
    </row>
    <row r="253">
      <c r="C253" s="3"/>
      <c r="D253" s="3"/>
      <c r="E253" s="3"/>
      <c r="G253" s="3"/>
    </row>
    <row r="254">
      <c r="C254" s="3"/>
      <c r="D254" s="3"/>
      <c r="E254" s="3"/>
      <c r="G254" s="3"/>
    </row>
    <row r="255">
      <c r="C255" s="3"/>
      <c r="D255" s="3"/>
      <c r="E255" s="3"/>
      <c r="G255" s="3"/>
    </row>
    <row r="256">
      <c r="C256" s="3"/>
      <c r="D256" s="3"/>
      <c r="E256" s="3"/>
      <c r="G256" s="3"/>
    </row>
    <row r="257">
      <c r="C257" s="3"/>
      <c r="D257" s="3"/>
      <c r="E257" s="3"/>
      <c r="G257" s="3"/>
    </row>
    <row r="258">
      <c r="C258" s="3"/>
      <c r="D258" s="3"/>
      <c r="E258" s="3"/>
      <c r="G258" s="3"/>
    </row>
    <row r="259">
      <c r="C259" s="3"/>
      <c r="D259" s="3"/>
      <c r="E259" s="3"/>
      <c r="G259" s="3"/>
    </row>
    <row r="260">
      <c r="C260" s="3"/>
      <c r="D260" s="3"/>
      <c r="E260" s="3"/>
      <c r="G260" s="3"/>
    </row>
    <row r="261">
      <c r="C261" s="3"/>
      <c r="D261" s="3"/>
      <c r="E261" s="3"/>
      <c r="G261" s="3"/>
    </row>
    <row r="262">
      <c r="C262" s="3"/>
      <c r="D262" s="3"/>
      <c r="E262" s="3"/>
      <c r="G262" s="3"/>
    </row>
    <row r="263">
      <c r="C263" s="3"/>
      <c r="D263" s="3"/>
      <c r="E263" s="3"/>
      <c r="G263" s="3"/>
    </row>
    <row r="264">
      <c r="C264" s="3"/>
      <c r="D264" s="3"/>
      <c r="E264" s="3"/>
      <c r="G264" s="3"/>
    </row>
    <row r="265">
      <c r="C265" s="3"/>
      <c r="D265" s="3"/>
      <c r="E265" s="3"/>
      <c r="G265" s="3"/>
    </row>
    <row r="266">
      <c r="C266" s="3"/>
      <c r="D266" s="3"/>
      <c r="E266" s="3"/>
      <c r="G266" s="3"/>
    </row>
    <row r="267">
      <c r="C267" s="3"/>
      <c r="D267" s="3"/>
      <c r="E267" s="3"/>
      <c r="G267" s="3"/>
    </row>
    <row r="268">
      <c r="C268" s="3"/>
      <c r="D268" s="3"/>
      <c r="E268" s="3"/>
      <c r="G268" s="3"/>
    </row>
    <row r="269">
      <c r="C269" s="3"/>
      <c r="D269" s="3"/>
      <c r="E269" s="3"/>
      <c r="G269" s="3"/>
    </row>
    <row r="270">
      <c r="C270" s="3"/>
      <c r="D270" s="3"/>
      <c r="E270" s="3"/>
      <c r="G270" s="3"/>
    </row>
    <row r="271">
      <c r="C271" s="3"/>
      <c r="D271" s="3"/>
      <c r="E271" s="3"/>
      <c r="G271" s="3"/>
    </row>
    <row r="272">
      <c r="C272" s="3"/>
      <c r="D272" s="3"/>
      <c r="E272" s="3"/>
      <c r="G272" s="3"/>
    </row>
    <row r="273">
      <c r="C273" s="3"/>
      <c r="D273" s="3"/>
      <c r="E273" s="3"/>
      <c r="G273" s="3"/>
    </row>
    <row r="274">
      <c r="C274" s="3"/>
      <c r="D274" s="3"/>
      <c r="E274" s="3"/>
      <c r="G274" s="3"/>
    </row>
    <row r="275">
      <c r="C275" s="3"/>
      <c r="D275" s="3"/>
      <c r="E275" s="3"/>
      <c r="G275" s="3"/>
    </row>
    <row r="276">
      <c r="C276" s="3"/>
      <c r="D276" s="3"/>
      <c r="E276" s="3"/>
      <c r="G276" s="3"/>
    </row>
    <row r="277">
      <c r="C277" s="3"/>
      <c r="D277" s="3"/>
      <c r="E277" s="3"/>
      <c r="G277" s="3"/>
    </row>
    <row r="278">
      <c r="C278" s="3"/>
      <c r="D278" s="3"/>
      <c r="E278" s="3"/>
      <c r="G278" s="3"/>
    </row>
    <row r="279">
      <c r="C279" s="3"/>
      <c r="D279" s="3"/>
      <c r="E279" s="3"/>
      <c r="G279" s="3"/>
    </row>
    <row r="280">
      <c r="C280" s="3"/>
      <c r="D280" s="3"/>
      <c r="E280" s="3"/>
      <c r="G280" s="3"/>
    </row>
    <row r="281">
      <c r="C281" s="3"/>
      <c r="D281" s="3"/>
      <c r="E281" s="3"/>
      <c r="G281" s="3"/>
    </row>
    <row r="282">
      <c r="C282" s="3"/>
      <c r="D282" s="3"/>
      <c r="E282" s="3"/>
      <c r="G282" s="3"/>
    </row>
    <row r="283">
      <c r="C283" s="3"/>
      <c r="D283" s="3"/>
      <c r="E283" s="3"/>
      <c r="G283" s="3"/>
    </row>
    <row r="284">
      <c r="C284" s="3"/>
      <c r="D284" s="3"/>
      <c r="E284" s="3"/>
      <c r="G284" s="3"/>
    </row>
    <row r="285">
      <c r="C285" s="3"/>
      <c r="D285" s="3"/>
      <c r="E285" s="3"/>
      <c r="G285" s="3"/>
    </row>
    <row r="286">
      <c r="C286" s="3"/>
      <c r="D286" s="3"/>
      <c r="E286" s="3"/>
      <c r="G286" s="3"/>
    </row>
    <row r="287">
      <c r="C287" s="3"/>
      <c r="D287" s="3"/>
      <c r="E287" s="3"/>
      <c r="G287" s="3"/>
    </row>
    <row r="288">
      <c r="C288" s="3"/>
      <c r="D288" s="3"/>
      <c r="E288" s="3"/>
      <c r="G288" s="3"/>
    </row>
    <row r="289">
      <c r="C289" s="3"/>
      <c r="D289" s="3"/>
      <c r="E289" s="3"/>
      <c r="G289" s="3"/>
    </row>
    <row r="290">
      <c r="C290" s="3"/>
      <c r="D290" s="3"/>
      <c r="E290" s="3"/>
      <c r="G290" s="3"/>
    </row>
    <row r="291">
      <c r="C291" s="3"/>
      <c r="D291" s="3"/>
      <c r="E291" s="3"/>
      <c r="G291" s="3"/>
    </row>
    <row r="292">
      <c r="C292" s="3"/>
      <c r="D292" s="3"/>
      <c r="E292" s="3"/>
      <c r="G292" s="3"/>
    </row>
    <row r="293">
      <c r="C293" s="3"/>
      <c r="D293" s="3"/>
      <c r="E293" s="3"/>
      <c r="G293" s="3"/>
    </row>
    <row r="294">
      <c r="C294" s="3"/>
      <c r="D294" s="3"/>
      <c r="E294" s="3"/>
      <c r="G294" s="3"/>
    </row>
    <row r="295">
      <c r="C295" s="3"/>
      <c r="D295" s="3"/>
      <c r="E295" s="3"/>
      <c r="G295" s="3"/>
    </row>
    <row r="296">
      <c r="C296" s="3"/>
      <c r="D296" s="3"/>
      <c r="E296" s="3"/>
      <c r="G296" s="3"/>
    </row>
    <row r="297">
      <c r="C297" s="3"/>
      <c r="D297" s="3"/>
      <c r="E297" s="3"/>
      <c r="G297" s="3"/>
    </row>
    <row r="298">
      <c r="C298" s="3"/>
      <c r="D298" s="3"/>
      <c r="E298" s="3"/>
      <c r="G298" s="3"/>
    </row>
    <row r="299">
      <c r="C299" s="3"/>
      <c r="D299" s="3"/>
      <c r="E299" s="3"/>
      <c r="G299" s="3"/>
    </row>
    <row r="300">
      <c r="C300" s="3"/>
      <c r="D300" s="3"/>
      <c r="E300" s="3"/>
      <c r="G300" s="3"/>
    </row>
    <row r="301">
      <c r="C301" s="3"/>
      <c r="D301" s="3"/>
      <c r="E301" s="3"/>
      <c r="G301" s="3"/>
    </row>
    <row r="302">
      <c r="C302" s="3"/>
      <c r="D302" s="3"/>
      <c r="E302" s="3"/>
      <c r="G302" s="3"/>
    </row>
    <row r="303">
      <c r="C303" s="3"/>
      <c r="D303" s="3"/>
      <c r="E303" s="3"/>
      <c r="G303" s="3"/>
    </row>
    <row r="304">
      <c r="C304" s="3"/>
      <c r="D304" s="3"/>
      <c r="E304" s="3"/>
      <c r="G304" s="3"/>
    </row>
    <row r="305">
      <c r="C305" s="3"/>
      <c r="D305" s="3"/>
      <c r="E305" s="3"/>
      <c r="G305" s="3"/>
    </row>
    <row r="306">
      <c r="C306" s="3"/>
      <c r="D306" s="3"/>
      <c r="E306" s="3"/>
      <c r="G306" s="3"/>
    </row>
    <row r="307">
      <c r="C307" s="3"/>
      <c r="D307" s="3"/>
      <c r="E307" s="3"/>
      <c r="G307" s="3"/>
    </row>
    <row r="308">
      <c r="C308" s="3"/>
      <c r="D308" s="3"/>
      <c r="E308" s="3"/>
      <c r="G308" s="3"/>
    </row>
    <row r="309">
      <c r="C309" s="3"/>
      <c r="D309" s="3"/>
      <c r="E309" s="3"/>
      <c r="G309" s="3"/>
    </row>
    <row r="310">
      <c r="C310" s="3"/>
      <c r="D310" s="3"/>
      <c r="E310" s="3"/>
      <c r="G310" s="3"/>
    </row>
    <row r="311">
      <c r="C311" s="3"/>
      <c r="D311" s="3"/>
      <c r="E311" s="3"/>
      <c r="G311" s="3"/>
    </row>
    <row r="312">
      <c r="C312" s="3"/>
      <c r="D312" s="3"/>
      <c r="E312" s="3"/>
      <c r="G312" s="3"/>
    </row>
    <row r="313">
      <c r="C313" s="3"/>
      <c r="D313" s="3"/>
      <c r="E313" s="3"/>
      <c r="G313" s="3"/>
    </row>
    <row r="314">
      <c r="C314" s="3"/>
      <c r="D314" s="3"/>
      <c r="E314" s="3"/>
      <c r="G314" s="3"/>
    </row>
    <row r="315">
      <c r="C315" s="3"/>
      <c r="D315" s="3"/>
      <c r="E315" s="3"/>
      <c r="G315" s="3"/>
    </row>
    <row r="316">
      <c r="C316" s="3"/>
      <c r="D316" s="3"/>
      <c r="E316" s="3"/>
      <c r="G316" s="3"/>
    </row>
    <row r="317">
      <c r="C317" s="3"/>
      <c r="D317" s="3"/>
      <c r="E317" s="3"/>
      <c r="G317" s="3"/>
    </row>
    <row r="318">
      <c r="C318" s="3"/>
      <c r="D318" s="3"/>
      <c r="E318" s="3"/>
      <c r="G318" s="3"/>
    </row>
    <row r="319">
      <c r="C319" s="3"/>
      <c r="D319" s="3"/>
      <c r="E319" s="3"/>
      <c r="G319" s="3"/>
    </row>
    <row r="320">
      <c r="C320" s="3"/>
      <c r="D320" s="3"/>
      <c r="E320" s="3"/>
      <c r="G320" s="3"/>
    </row>
    <row r="321">
      <c r="C321" s="3"/>
      <c r="D321" s="3"/>
      <c r="E321" s="3"/>
      <c r="G321" s="3"/>
    </row>
    <row r="322">
      <c r="C322" s="3"/>
      <c r="D322" s="3"/>
      <c r="E322" s="3"/>
      <c r="G322" s="3"/>
    </row>
    <row r="323">
      <c r="C323" s="3"/>
      <c r="D323" s="3"/>
      <c r="E323" s="3"/>
      <c r="G323" s="3"/>
    </row>
    <row r="324">
      <c r="C324" s="3"/>
      <c r="D324" s="3"/>
      <c r="E324" s="3"/>
      <c r="G324" s="3"/>
    </row>
    <row r="325">
      <c r="C325" s="3"/>
      <c r="D325" s="3"/>
      <c r="E325" s="3"/>
      <c r="G325" s="3"/>
    </row>
    <row r="326">
      <c r="C326" s="3"/>
      <c r="D326" s="3"/>
      <c r="E326" s="3"/>
      <c r="G326" s="3"/>
    </row>
    <row r="327">
      <c r="C327" s="3"/>
      <c r="D327" s="3"/>
      <c r="E327" s="3"/>
      <c r="G327" s="3"/>
    </row>
    <row r="328">
      <c r="C328" s="3"/>
      <c r="D328" s="3"/>
      <c r="E328" s="3"/>
      <c r="G328" s="3"/>
    </row>
    <row r="329">
      <c r="C329" s="3"/>
      <c r="D329" s="3"/>
      <c r="E329" s="3"/>
      <c r="G329" s="3"/>
    </row>
    <row r="330">
      <c r="C330" s="3"/>
      <c r="D330" s="3"/>
      <c r="E330" s="3"/>
      <c r="G330" s="3"/>
    </row>
    <row r="331">
      <c r="C331" s="3"/>
      <c r="D331" s="3"/>
      <c r="E331" s="3"/>
      <c r="G331" s="3"/>
    </row>
    <row r="332">
      <c r="C332" s="3"/>
      <c r="D332" s="3"/>
      <c r="E332" s="3"/>
      <c r="G332" s="3"/>
    </row>
    <row r="333">
      <c r="C333" s="3"/>
      <c r="D333" s="3"/>
      <c r="E333" s="3"/>
      <c r="G333" s="3"/>
    </row>
    <row r="334">
      <c r="C334" s="3"/>
      <c r="D334" s="3"/>
      <c r="E334" s="3"/>
      <c r="G334" s="3"/>
    </row>
    <row r="335">
      <c r="C335" s="3"/>
      <c r="D335" s="3"/>
      <c r="E335" s="3"/>
      <c r="G335" s="3"/>
    </row>
    <row r="336">
      <c r="C336" s="3"/>
      <c r="D336" s="3"/>
      <c r="E336" s="3"/>
      <c r="G336" s="3"/>
    </row>
    <row r="337">
      <c r="C337" s="3"/>
      <c r="D337" s="3"/>
      <c r="E337" s="3"/>
      <c r="G337" s="3"/>
    </row>
    <row r="338">
      <c r="C338" s="3"/>
      <c r="D338" s="3"/>
      <c r="E338" s="3"/>
      <c r="G338" s="3"/>
    </row>
    <row r="339">
      <c r="C339" s="3"/>
      <c r="D339" s="3"/>
      <c r="E339" s="3"/>
      <c r="G339" s="3"/>
    </row>
    <row r="340">
      <c r="C340" s="3"/>
      <c r="D340" s="3"/>
      <c r="E340" s="3"/>
      <c r="G340" s="3"/>
    </row>
    <row r="341">
      <c r="C341" s="3"/>
      <c r="D341" s="3"/>
      <c r="E341" s="3"/>
      <c r="G341" s="3"/>
    </row>
    <row r="342">
      <c r="C342" s="3"/>
      <c r="D342" s="3"/>
      <c r="E342" s="3"/>
      <c r="G342" s="3"/>
    </row>
    <row r="343">
      <c r="C343" s="3"/>
      <c r="D343" s="3"/>
      <c r="E343" s="3"/>
      <c r="G343" s="3"/>
    </row>
    <row r="344">
      <c r="C344" s="3"/>
      <c r="D344" s="3"/>
      <c r="E344" s="3"/>
      <c r="G344" s="3"/>
    </row>
    <row r="345">
      <c r="C345" s="3"/>
      <c r="D345" s="3"/>
      <c r="E345" s="3"/>
      <c r="G345" s="3"/>
    </row>
    <row r="346">
      <c r="C346" s="3"/>
      <c r="D346" s="3"/>
      <c r="E346" s="3"/>
      <c r="G346" s="3"/>
    </row>
    <row r="347">
      <c r="C347" s="3"/>
      <c r="D347" s="3"/>
      <c r="E347" s="3"/>
      <c r="G347" s="3"/>
    </row>
    <row r="348">
      <c r="C348" s="3"/>
      <c r="D348" s="3"/>
      <c r="E348" s="3"/>
      <c r="G348" s="3"/>
    </row>
    <row r="349">
      <c r="C349" s="3"/>
      <c r="D349" s="3"/>
      <c r="E349" s="3"/>
      <c r="G349" s="3"/>
    </row>
    <row r="350">
      <c r="C350" s="3"/>
      <c r="D350" s="3"/>
      <c r="E350" s="3"/>
      <c r="G350" s="3"/>
    </row>
    <row r="351">
      <c r="C351" s="3"/>
      <c r="D351" s="3"/>
      <c r="E351" s="3"/>
      <c r="G351" s="3"/>
    </row>
    <row r="352">
      <c r="C352" s="3"/>
      <c r="D352" s="3"/>
      <c r="E352" s="3"/>
      <c r="G352" s="3"/>
    </row>
    <row r="353">
      <c r="C353" s="3"/>
      <c r="D353" s="3"/>
      <c r="E353" s="3"/>
      <c r="G353" s="3"/>
    </row>
    <row r="354">
      <c r="C354" s="3"/>
      <c r="D354" s="3"/>
      <c r="E354" s="3"/>
      <c r="G354" s="3"/>
    </row>
    <row r="355">
      <c r="C355" s="3"/>
      <c r="D355" s="3"/>
      <c r="E355" s="3"/>
      <c r="G355" s="3"/>
    </row>
    <row r="356">
      <c r="C356" s="3"/>
      <c r="D356" s="3"/>
      <c r="E356" s="3"/>
      <c r="G356" s="3"/>
    </row>
    <row r="357">
      <c r="C357" s="3"/>
      <c r="D357" s="3"/>
      <c r="E357" s="3"/>
      <c r="G357" s="3"/>
    </row>
    <row r="358">
      <c r="C358" s="3"/>
      <c r="D358" s="3"/>
      <c r="E358" s="3"/>
      <c r="G358" s="3"/>
    </row>
    <row r="359">
      <c r="C359" s="3"/>
      <c r="D359" s="3"/>
      <c r="E359" s="3"/>
      <c r="G359" s="3"/>
    </row>
    <row r="360">
      <c r="C360" s="3"/>
      <c r="D360" s="3"/>
      <c r="E360" s="3"/>
      <c r="G360" s="3"/>
    </row>
    <row r="361">
      <c r="C361" s="3"/>
      <c r="D361" s="3"/>
      <c r="E361" s="3"/>
      <c r="G361" s="3"/>
    </row>
    <row r="362">
      <c r="C362" s="3"/>
      <c r="D362" s="3"/>
      <c r="E362" s="3"/>
      <c r="G362" s="3"/>
    </row>
    <row r="363">
      <c r="C363" s="3"/>
      <c r="D363" s="3"/>
      <c r="E363" s="3"/>
      <c r="G363" s="3"/>
    </row>
    <row r="364">
      <c r="C364" s="3"/>
      <c r="D364" s="3"/>
      <c r="E364" s="3"/>
      <c r="G364" s="3"/>
    </row>
    <row r="365">
      <c r="C365" s="3"/>
      <c r="D365" s="3"/>
      <c r="E365" s="3"/>
      <c r="G365" s="3"/>
    </row>
    <row r="366">
      <c r="C366" s="3"/>
      <c r="D366" s="3"/>
      <c r="E366" s="3"/>
      <c r="G366" s="3"/>
    </row>
    <row r="367">
      <c r="C367" s="3"/>
      <c r="D367" s="3"/>
      <c r="E367" s="3"/>
      <c r="G367" s="3"/>
    </row>
    <row r="368">
      <c r="C368" s="3"/>
      <c r="D368" s="3"/>
      <c r="E368" s="3"/>
      <c r="G368" s="3"/>
    </row>
    <row r="369">
      <c r="C369" s="3"/>
      <c r="D369" s="3"/>
      <c r="E369" s="3"/>
      <c r="G369" s="3"/>
    </row>
    <row r="370">
      <c r="C370" s="3"/>
      <c r="D370" s="3"/>
      <c r="E370" s="3"/>
      <c r="G370" s="3"/>
    </row>
    <row r="371">
      <c r="C371" s="3"/>
      <c r="D371" s="3"/>
      <c r="E371" s="3"/>
      <c r="G371" s="3"/>
    </row>
    <row r="372">
      <c r="C372" s="3"/>
      <c r="D372" s="3"/>
      <c r="E372" s="3"/>
      <c r="G372" s="3"/>
    </row>
    <row r="373">
      <c r="C373" s="3"/>
      <c r="D373" s="3"/>
      <c r="E373" s="3"/>
      <c r="G373" s="3"/>
    </row>
    <row r="374">
      <c r="C374" s="3"/>
      <c r="D374" s="3"/>
      <c r="E374" s="3"/>
      <c r="G374" s="3"/>
    </row>
    <row r="375">
      <c r="C375" s="3"/>
      <c r="D375" s="3"/>
      <c r="E375" s="3"/>
      <c r="G375" s="3"/>
    </row>
    <row r="376">
      <c r="C376" s="3"/>
      <c r="D376" s="3"/>
      <c r="E376" s="3"/>
      <c r="G376" s="3"/>
    </row>
    <row r="377">
      <c r="C377" s="3"/>
      <c r="D377" s="3"/>
      <c r="E377" s="3"/>
      <c r="G377" s="3"/>
    </row>
    <row r="378">
      <c r="C378" s="3"/>
      <c r="D378" s="3"/>
      <c r="E378" s="3"/>
      <c r="G378" s="3"/>
    </row>
    <row r="379">
      <c r="C379" s="3"/>
      <c r="D379" s="3"/>
      <c r="E379" s="3"/>
      <c r="G379" s="3"/>
    </row>
    <row r="380">
      <c r="C380" s="3"/>
      <c r="D380" s="3"/>
      <c r="E380" s="3"/>
      <c r="G380" s="3"/>
    </row>
    <row r="381">
      <c r="C381" s="3"/>
      <c r="D381" s="3"/>
      <c r="E381" s="3"/>
      <c r="G381" s="3"/>
    </row>
    <row r="382">
      <c r="C382" s="3"/>
      <c r="D382" s="3"/>
      <c r="E382" s="3"/>
      <c r="G382" s="3"/>
    </row>
    <row r="383">
      <c r="C383" s="3"/>
      <c r="D383" s="3"/>
      <c r="E383" s="3"/>
      <c r="G383" s="3"/>
    </row>
    <row r="384">
      <c r="C384" s="3"/>
      <c r="D384" s="3"/>
      <c r="E384" s="3"/>
      <c r="G384" s="3"/>
    </row>
    <row r="385">
      <c r="C385" s="3"/>
      <c r="D385" s="3"/>
      <c r="E385" s="3"/>
      <c r="G385" s="3"/>
    </row>
    <row r="386">
      <c r="C386" s="3"/>
      <c r="D386" s="3"/>
      <c r="E386" s="3"/>
      <c r="G386" s="3"/>
    </row>
    <row r="387">
      <c r="C387" s="3"/>
      <c r="D387" s="3"/>
      <c r="E387" s="3"/>
      <c r="G387" s="3"/>
    </row>
    <row r="388">
      <c r="C388" s="3"/>
      <c r="D388" s="3"/>
      <c r="E388" s="3"/>
      <c r="G388" s="3"/>
    </row>
    <row r="389">
      <c r="C389" s="3"/>
      <c r="D389" s="3"/>
      <c r="E389" s="3"/>
      <c r="G389" s="3"/>
    </row>
    <row r="390">
      <c r="C390" s="3"/>
      <c r="D390" s="3"/>
      <c r="E390" s="3"/>
      <c r="G390" s="3"/>
    </row>
    <row r="391">
      <c r="C391" s="3"/>
      <c r="D391" s="3"/>
      <c r="E391" s="3"/>
      <c r="G391" s="3"/>
    </row>
    <row r="392">
      <c r="C392" s="3"/>
      <c r="D392" s="3"/>
      <c r="E392" s="3"/>
      <c r="G392" s="3"/>
    </row>
    <row r="393">
      <c r="C393" s="3"/>
      <c r="D393" s="3"/>
      <c r="E393" s="3"/>
      <c r="G393" s="3"/>
    </row>
    <row r="394">
      <c r="C394" s="3"/>
      <c r="D394" s="3"/>
      <c r="E394" s="3"/>
      <c r="G394" s="3"/>
    </row>
    <row r="395">
      <c r="C395" s="3"/>
      <c r="D395" s="3"/>
      <c r="E395" s="3"/>
      <c r="G395" s="3"/>
    </row>
    <row r="396">
      <c r="C396" s="3"/>
      <c r="D396" s="3"/>
      <c r="E396" s="3"/>
      <c r="G396" s="3"/>
    </row>
    <row r="397">
      <c r="C397" s="3"/>
      <c r="D397" s="3"/>
      <c r="E397" s="3"/>
      <c r="G397" s="3"/>
    </row>
    <row r="398">
      <c r="C398" s="3"/>
      <c r="D398" s="3"/>
      <c r="E398" s="3"/>
      <c r="G398" s="3"/>
    </row>
    <row r="399">
      <c r="C399" s="3"/>
      <c r="D399" s="3"/>
      <c r="E399" s="3"/>
      <c r="G399" s="3"/>
    </row>
    <row r="400">
      <c r="C400" s="3"/>
      <c r="D400" s="3"/>
      <c r="E400" s="3"/>
      <c r="G400" s="3"/>
    </row>
    <row r="401">
      <c r="C401" s="3"/>
      <c r="D401" s="3"/>
      <c r="E401" s="3"/>
      <c r="G401" s="3"/>
    </row>
    <row r="402">
      <c r="C402" s="3"/>
      <c r="D402" s="3"/>
      <c r="E402" s="3"/>
      <c r="G402" s="3"/>
    </row>
    <row r="403">
      <c r="C403" s="3"/>
      <c r="D403" s="3"/>
      <c r="E403" s="3"/>
      <c r="G403" s="3"/>
    </row>
    <row r="404">
      <c r="C404" s="3"/>
      <c r="D404" s="3"/>
      <c r="E404" s="3"/>
      <c r="G404" s="3"/>
    </row>
    <row r="405">
      <c r="C405" s="3"/>
      <c r="D405" s="3"/>
      <c r="E405" s="3"/>
      <c r="G405" s="3"/>
    </row>
    <row r="406">
      <c r="C406" s="3"/>
      <c r="D406" s="3"/>
      <c r="E406" s="3"/>
      <c r="G406" s="3"/>
    </row>
    <row r="407">
      <c r="C407" s="3"/>
      <c r="D407" s="3"/>
      <c r="E407" s="3"/>
      <c r="G407" s="3"/>
    </row>
    <row r="408">
      <c r="C408" s="3"/>
      <c r="D408" s="3"/>
      <c r="E408" s="3"/>
      <c r="G408" s="3"/>
    </row>
    <row r="409">
      <c r="C409" s="3"/>
      <c r="D409" s="3"/>
      <c r="E409" s="3"/>
      <c r="G409" s="3"/>
    </row>
    <row r="410">
      <c r="C410" s="3"/>
      <c r="D410" s="3"/>
      <c r="E410" s="3"/>
      <c r="G410" s="3"/>
    </row>
    <row r="411">
      <c r="C411" s="3"/>
      <c r="D411" s="3"/>
      <c r="E411" s="3"/>
      <c r="G411" s="3"/>
    </row>
    <row r="412">
      <c r="C412" s="3"/>
      <c r="D412" s="3"/>
      <c r="E412" s="3"/>
      <c r="G412" s="3"/>
    </row>
    <row r="413">
      <c r="C413" s="3"/>
      <c r="D413" s="3"/>
      <c r="E413" s="3"/>
      <c r="G413" s="3"/>
    </row>
    <row r="414">
      <c r="C414" s="3"/>
      <c r="D414" s="3"/>
      <c r="E414" s="3"/>
      <c r="G414" s="3"/>
    </row>
    <row r="415">
      <c r="C415" s="3"/>
      <c r="D415" s="3"/>
      <c r="E415" s="3"/>
      <c r="G415" s="3"/>
    </row>
    <row r="416">
      <c r="C416" s="3"/>
      <c r="D416" s="3"/>
      <c r="E416" s="3"/>
      <c r="G416" s="3"/>
    </row>
    <row r="417">
      <c r="C417" s="3"/>
      <c r="D417" s="3"/>
      <c r="E417" s="3"/>
      <c r="G417" s="3"/>
    </row>
    <row r="418">
      <c r="C418" s="3"/>
      <c r="D418" s="3"/>
      <c r="E418" s="3"/>
      <c r="G418" s="3"/>
    </row>
    <row r="419">
      <c r="C419" s="3"/>
      <c r="D419" s="3"/>
      <c r="E419" s="3"/>
      <c r="G419" s="3"/>
    </row>
    <row r="420">
      <c r="C420" s="3"/>
      <c r="D420" s="3"/>
      <c r="E420" s="3"/>
      <c r="G420" s="3"/>
    </row>
    <row r="421">
      <c r="C421" s="3"/>
      <c r="D421" s="3"/>
      <c r="E421" s="3"/>
      <c r="G421" s="3"/>
    </row>
    <row r="422">
      <c r="C422" s="3"/>
      <c r="D422" s="3"/>
      <c r="E422" s="3"/>
      <c r="G422" s="3"/>
    </row>
    <row r="423">
      <c r="C423" s="3"/>
      <c r="D423" s="3"/>
      <c r="E423" s="3"/>
      <c r="G423" s="3"/>
    </row>
    <row r="424">
      <c r="C424" s="3"/>
      <c r="D424" s="3"/>
      <c r="E424" s="3"/>
      <c r="G424" s="3"/>
    </row>
    <row r="425">
      <c r="C425" s="3"/>
      <c r="D425" s="3"/>
      <c r="E425" s="3"/>
      <c r="G425" s="3"/>
    </row>
    <row r="426">
      <c r="C426" s="3"/>
      <c r="D426" s="3"/>
      <c r="E426" s="3"/>
      <c r="G426" s="3"/>
    </row>
    <row r="427">
      <c r="C427" s="3"/>
      <c r="D427" s="3"/>
      <c r="E427" s="3"/>
      <c r="G427" s="3"/>
    </row>
    <row r="428">
      <c r="C428" s="3"/>
      <c r="D428" s="3"/>
      <c r="E428" s="3"/>
      <c r="G428" s="3"/>
    </row>
    <row r="429">
      <c r="C429" s="3"/>
      <c r="D429" s="3"/>
      <c r="E429" s="3"/>
      <c r="G429" s="3"/>
    </row>
    <row r="430">
      <c r="C430" s="3"/>
      <c r="D430" s="3"/>
      <c r="E430" s="3"/>
      <c r="G430" s="3"/>
    </row>
    <row r="431">
      <c r="C431" s="3"/>
      <c r="D431" s="3"/>
      <c r="E431" s="3"/>
      <c r="G431" s="3"/>
    </row>
    <row r="432">
      <c r="C432" s="3"/>
      <c r="D432" s="3"/>
      <c r="E432" s="3"/>
      <c r="G432" s="3"/>
    </row>
    <row r="433">
      <c r="C433" s="3"/>
      <c r="D433" s="3"/>
      <c r="E433" s="3"/>
      <c r="G433" s="3"/>
    </row>
    <row r="434">
      <c r="C434" s="3"/>
      <c r="D434" s="3"/>
      <c r="E434" s="3"/>
      <c r="G434" s="3"/>
    </row>
    <row r="435">
      <c r="C435" s="3"/>
      <c r="D435" s="3"/>
      <c r="E435" s="3"/>
      <c r="G435" s="3"/>
    </row>
    <row r="436">
      <c r="C436" s="3"/>
      <c r="D436" s="3"/>
      <c r="E436" s="3"/>
      <c r="G436" s="3"/>
    </row>
    <row r="437">
      <c r="C437" s="3"/>
      <c r="D437" s="3"/>
      <c r="E437" s="3"/>
      <c r="G437" s="3"/>
    </row>
    <row r="438">
      <c r="C438" s="3"/>
      <c r="D438" s="3"/>
      <c r="E438" s="3"/>
      <c r="G438" s="3"/>
    </row>
    <row r="439">
      <c r="C439" s="3"/>
      <c r="D439" s="3"/>
      <c r="E439" s="3"/>
      <c r="G439" s="3"/>
    </row>
    <row r="440">
      <c r="C440" s="3"/>
      <c r="D440" s="3"/>
      <c r="E440" s="3"/>
      <c r="G440" s="3"/>
    </row>
    <row r="441">
      <c r="C441" s="3"/>
      <c r="D441" s="3"/>
      <c r="E441" s="3"/>
      <c r="G441" s="3"/>
    </row>
    <row r="442">
      <c r="C442" s="3"/>
      <c r="D442" s="3"/>
      <c r="E442" s="3"/>
      <c r="G442" s="3"/>
    </row>
    <row r="443">
      <c r="C443" s="3"/>
      <c r="D443" s="3"/>
      <c r="E443" s="3"/>
      <c r="G443" s="3"/>
    </row>
    <row r="444">
      <c r="C444" s="3"/>
      <c r="D444" s="3"/>
      <c r="E444" s="3"/>
      <c r="G444" s="3"/>
    </row>
    <row r="445">
      <c r="C445" s="3"/>
      <c r="D445" s="3"/>
      <c r="E445" s="3"/>
      <c r="G445" s="3"/>
    </row>
    <row r="446">
      <c r="C446" s="3"/>
      <c r="D446" s="3"/>
      <c r="E446" s="3"/>
      <c r="G446" s="3"/>
    </row>
    <row r="447">
      <c r="C447" s="3"/>
      <c r="D447" s="3"/>
      <c r="E447" s="3"/>
      <c r="G447" s="3"/>
    </row>
    <row r="448">
      <c r="C448" s="3"/>
      <c r="D448" s="3"/>
      <c r="E448" s="3"/>
      <c r="G448" s="3"/>
    </row>
    <row r="449">
      <c r="C449" s="3"/>
      <c r="D449" s="3"/>
      <c r="E449" s="3"/>
      <c r="G449" s="3"/>
    </row>
    <row r="450">
      <c r="C450" s="3"/>
      <c r="D450" s="3"/>
      <c r="E450" s="3"/>
      <c r="G450" s="3"/>
    </row>
    <row r="451">
      <c r="C451" s="3"/>
      <c r="D451" s="3"/>
      <c r="E451" s="3"/>
      <c r="G451" s="3"/>
    </row>
    <row r="452">
      <c r="C452" s="3"/>
      <c r="D452" s="3"/>
      <c r="E452" s="3"/>
      <c r="G452" s="3"/>
    </row>
    <row r="453">
      <c r="C453" s="3"/>
      <c r="D453" s="3"/>
      <c r="E453" s="3"/>
      <c r="G453" s="3"/>
    </row>
    <row r="454">
      <c r="C454" s="3"/>
      <c r="D454" s="3"/>
      <c r="E454" s="3"/>
      <c r="G454" s="3"/>
    </row>
    <row r="455">
      <c r="C455" s="3"/>
      <c r="D455" s="3"/>
      <c r="E455" s="3"/>
      <c r="G455" s="3"/>
    </row>
    <row r="456">
      <c r="C456" s="3"/>
      <c r="D456" s="3"/>
      <c r="E456" s="3"/>
      <c r="G456" s="3"/>
    </row>
    <row r="457">
      <c r="C457" s="3"/>
      <c r="D457" s="3"/>
      <c r="E457" s="3"/>
      <c r="G457" s="3"/>
    </row>
    <row r="458">
      <c r="C458" s="3"/>
      <c r="D458" s="3"/>
      <c r="E458" s="3"/>
      <c r="G458" s="3"/>
    </row>
    <row r="459">
      <c r="C459" s="3"/>
      <c r="D459" s="3"/>
      <c r="E459" s="3"/>
      <c r="G459" s="3"/>
    </row>
    <row r="460">
      <c r="C460" s="3"/>
      <c r="D460" s="3"/>
      <c r="E460" s="3"/>
      <c r="G460" s="3"/>
    </row>
    <row r="461">
      <c r="C461" s="3"/>
      <c r="D461" s="3"/>
      <c r="E461" s="3"/>
      <c r="G461" s="3"/>
    </row>
    <row r="462">
      <c r="C462" s="3"/>
      <c r="D462" s="3"/>
      <c r="E462" s="3"/>
      <c r="G462" s="3"/>
    </row>
    <row r="463">
      <c r="C463" s="3"/>
      <c r="D463" s="3"/>
      <c r="E463" s="3"/>
      <c r="G463" s="3"/>
    </row>
    <row r="464">
      <c r="C464" s="3"/>
      <c r="D464" s="3"/>
      <c r="E464" s="3"/>
      <c r="G464" s="3"/>
    </row>
    <row r="465">
      <c r="C465" s="3"/>
      <c r="D465" s="3"/>
      <c r="E465" s="3"/>
      <c r="G465" s="3"/>
    </row>
    <row r="466">
      <c r="C466" s="3"/>
      <c r="D466" s="3"/>
      <c r="E466" s="3"/>
      <c r="G466" s="3"/>
    </row>
    <row r="467">
      <c r="C467" s="3"/>
      <c r="D467" s="3"/>
      <c r="E467" s="3"/>
      <c r="G467" s="3"/>
    </row>
    <row r="468">
      <c r="C468" s="3"/>
      <c r="D468" s="3"/>
      <c r="E468" s="3"/>
      <c r="G468" s="3"/>
    </row>
    <row r="469">
      <c r="C469" s="3"/>
      <c r="D469" s="3"/>
      <c r="E469" s="3"/>
      <c r="G469" s="3"/>
    </row>
    <row r="470">
      <c r="C470" s="3"/>
      <c r="D470" s="3"/>
      <c r="E470" s="3"/>
      <c r="G470" s="3"/>
    </row>
    <row r="471">
      <c r="C471" s="3"/>
      <c r="D471" s="3"/>
      <c r="E471" s="3"/>
      <c r="G471" s="3"/>
    </row>
    <row r="472">
      <c r="C472" s="3"/>
      <c r="D472" s="3"/>
      <c r="E472" s="3"/>
      <c r="G472" s="3"/>
    </row>
    <row r="473">
      <c r="C473" s="3"/>
      <c r="D473" s="3"/>
      <c r="E473" s="3"/>
      <c r="G473" s="3"/>
    </row>
    <row r="474">
      <c r="C474" s="3"/>
      <c r="D474" s="3"/>
      <c r="E474" s="3"/>
      <c r="G474" s="3"/>
    </row>
    <row r="475">
      <c r="C475" s="3"/>
      <c r="D475" s="3"/>
      <c r="E475" s="3"/>
      <c r="G475" s="3"/>
    </row>
    <row r="476">
      <c r="C476" s="3"/>
      <c r="D476" s="3"/>
      <c r="E476" s="3"/>
      <c r="G476" s="3"/>
    </row>
    <row r="477">
      <c r="C477" s="3"/>
      <c r="D477" s="3"/>
      <c r="E477" s="3"/>
      <c r="G477" s="3"/>
    </row>
    <row r="478">
      <c r="C478" s="3"/>
      <c r="D478" s="3"/>
      <c r="E478" s="3"/>
      <c r="G478" s="3"/>
    </row>
    <row r="479">
      <c r="C479" s="3"/>
      <c r="D479" s="3"/>
      <c r="E479" s="3"/>
      <c r="G479" s="3"/>
    </row>
    <row r="480">
      <c r="C480" s="3"/>
      <c r="D480" s="3"/>
      <c r="E480" s="3"/>
      <c r="G480" s="3"/>
    </row>
    <row r="481">
      <c r="C481" s="3"/>
      <c r="D481" s="3"/>
      <c r="E481" s="3"/>
      <c r="G481" s="3"/>
    </row>
    <row r="482">
      <c r="C482" s="3"/>
      <c r="D482" s="3"/>
      <c r="E482" s="3"/>
      <c r="G482" s="3"/>
    </row>
    <row r="483">
      <c r="C483" s="3"/>
      <c r="D483" s="3"/>
      <c r="E483" s="3"/>
      <c r="G483" s="3"/>
    </row>
    <row r="484">
      <c r="C484" s="3"/>
      <c r="D484" s="3"/>
      <c r="E484" s="3"/>
      <c r="G484" s="3"/>
    </row>
    <row r="485">
      <c r="C485" s="3"/>
      <c r="D485" s="3"/>
      <c r="E485" s="3"/>
      <c r="G485" s="3"/>
    </row>
    <row r="486">
      <c r="C486" s="3"/>
      <c r="D486" s="3"/>
      <c r="E486" s="3"/>
      <c r="G486" s="3"/>
    </row>
    <row r="487">
      <c r="C487" s="3"/>
      <c r="D487" s="3"/>
      <c r="E487" s="3"/>
      <c r="G487" s="3"/>
    </row>
    <row r="488">
      <c r="C488" s="3"/>
      <c r="D488" s="3"/>
      <c r="E488" s="3"/>
      <c r="G488" s="3"/>
    </row>
    <row r="489">
      <c r="C489" s="3"/>
      <c r="D489" s="3"/>
      <c r="E489" s="3"/>
      <c r="G489" s="3"/>
    </row>
    <row r="490">
      <c r="C490" s="3"/>
      <c r="D490" s="3"/>
      <c r="E490" s="3"/>
      <c r="G490" s="3"/>
    </row>
    <row r="491">
      <c r="C491" s="3"/>
      <c r="D491" s="3"/>
      <c r="E491" s="3"/>
      <c r="G491" s="3"/>
    </row>
    <row r="492">
      <c r="C492" s="3"/>
      <c r="D492" s="3"/>
      <c r="E492" s="3"/>
      <c r="G492" s="3"/>
    </row>
    <row r="493">
      <c r="C493" s="3"/>
      <c r="D493" s="3"/>
      <c r="E493" s="3"/>
      <c r="G493" s="3"/>
    </row>
    <row r="494">
      <c r="C494" s="3"/>
      <c r="D494" s="3"/>
      <c r="E494" s="3"/>
      <c r="G494" s="3"/>
    </row>
    <row r="495">
      <c r="C495" s="3"/>
      <c r="D495" s="3"/>
      <c r="E495" s="3"/>
      <c r="G495" s="3"/>
    </row>
    <row r="496">
      <c r="C496" s="3"/>
      <c r="D496" s="3"/>
      <c r="E496" s="3"/>
      <c r="G496" s="3"/>
    </row>
    <row r="497">
      <c r="C497" s="3"/>
      <c r="D497" s="3"/>
      <c r="E497" s="3"/>
      <c r="G497" s="3"/>
    </row>
    <row r="498">
      <c r="C498" s="3"/>
      <c r="D498" s="3"/>
      <c r="E498" s="3"/>
      <c r="G498" s="3"/>
    </row>
    <row r="499">
      <c r="C499" s="3"/>
      <c r="D499" s="3"/>
      <c r="E499" s="3"/>
      <c r="G499" s="3"/>
    </row>
    <row r="500">
      <c r="C500" s="3"/>
      <c r="D500" s="3"/>
      <c r="E500" s="3"/>
      <c r="G500" s="3"/>
    </row>
    <row r="501">
      <c r="C501" s="3"/>
      <c r="D501" s="3"/>
      <c r="E501" s="3"/>
      <c r="G501" s="3"/>
    </row>
    <row r="502">
      <c r="C502" s="3"/>
      <c r="D502" s="3"/>
      <c r="E502" s="3"/>
      <c r="G502" s="3"/>
    </row>
    <row r="503">
      <c r="C503" s="3"/>
      <c r="D503" s="3"/>
      <c r="E503" s="3"/>
      <c r="G503" s="3"/>
    </row>
    <row r="504">
      <c r="C504" s="3"/>
      <c r="D504" s="3"/>
      <c r="E504" s="3"/>
      <c r="G504" s="3"/>
    </row>
    <row r="505">
      <c r="C505" s="3"/>
      <c r="D505" s="3"/>
      <c r="E505" s="3"/>
      <c r="G505" s="3"/>
    </row>
    <row r="506">
      <c r="C506" s="3"/>
      <c r="D506" s="3"/>
      <c r="E506" s="3"/>
      <c r="G506" s="3"/>
    </row>
    <row r="507">
      <c r="C507" s="3"/>
      <c r="D507" s="3"/>
      <c r="E507" s="3"/>
      <c r="G507" s="3"/>
    </row>
    <row r="508">
      <c r="C508" s="3"/>
      <c r="D508" s="3"/>
      <c r="E508" s="3"/>
      <c r="G508" s="3"/>
    </row>
    <row r="509">
      <c r="C509" s="3"/>
      <c r="D509" s="3"/>
      <c r="E509" s="3"/>
      <c r="G509" s="3"/>
    </row>
    <row r="510">
      <c r="C510" s="3"/>
      <c r="D510" s="3"/>
      <c r="E510" s="3"/>
      <c r="G510" s="3"/>
    </row>
    <row r="511">
      <c r="C511" s="3"/>
      <c r="D511" s="3"/>
      <c r="E511" s="3"/>
      <c r="G511" s="3"/>
    </row>
    <row r="512">
      <c r="C512" s="3"/>
      <c r="D512" s="3"/>
      <c r="E512" s="3"/>
      <c r="G512" s="3"/>
    </row>
    <row r="513">
      <c r="C513" s="3"/>
      <c r="D513" s="3"/>
      <c r="E513" s="3"/>
      <c r="G513" s="3"/>
    </row>
    <row r="514">
      <c r="C514" s="3"/>
      <c r="D514" s="3"/>
      <c r="E514" s="3"/>
      <c r="G514" s="3"/>
    </row>
    <row r="515">
      <c r="C515" s="3"/>
      <c r="D515" s="3"/>
      <c r="E515" s="3"/>
      <c r="G515" s="3"/>
    </row>
    <row r="516">
      <c r="C516" s="3"/>
      <c r="D516" s="3"/>
      <c r="E516" s="3"/>
      <c r="G516" s="3"/>
    </row>
    <row r="517">
      <c r="C517" s="3"/>
      <c r="D517" s="3"/>
      <c r="E517" s="3"/>
      <c r="G517" s="3"/>
    </row>
    <row r="518">
      <c r="C518" s="3"/>
      <c r="D518" s="3"/>
      <c r="E518" s="3"/>
      <c r="G518" s="3"/>
    </row>
    <row r="519">
      <c r="C519" s="3"/>
      <c r="D519" s="3"/>
      <c r="E519" s="3"/>
      <c r="G519" s="3"/>
    </row>
    <row r="520">
      <c r="C520" s="3"/>
      <c r="D520" s="3"/>
      <c r="E520" s="3"/>
      <c r="G520" s="3"/>
    </row>
    <row r="521">
      <c r="C521" s="3"/>
      <c r="D521" s="3"/>
      <c r="E521" s="3"/>
      <c r="G521" s="3"/>
    </row>
    <row r="522">
      <c r="C522" s="3"/>
      <c r="D522" s="3"/>
      <c r="E522" s="3"/>
      <c r="G522" s="3"/>
    </row>
    <row r="523">
      <c r="C523" s="3"/>
      <c r="D523" s="3"/>
      <c r="E523" s="3"/>
      <c r="G523" s="3"/>
    </row>
    <row r="524">
      <c r="C524" s="3"/>
      <c r="D524" s="3"/>
      <c r="E524" s="3"/>
      <c r="G524" s="3"/>
    </row>
    <row r="525">
      <c r="C525" s="3"/>
      <c r="D525" s="3"/>
      <c r="E525" s="3"/>
      <c r="G525" s="3"/>
    </row>
    <row r="526">
      <c r="C526" s="3"/>
      <c r="D526" s="3"/>
      <c r="E526" s="3"/>
      <c r="G526" s="3"/>
    </row>
    <row r="527">
      <c r="C527" s="3"/>
      <c r="D527" s="3"/>
      <c r="E527" s="3"/>
      <c r="G527" s="3"/>
    </row>
    <row r="528">
      <c r="C528" s="3"/>
      <c r="D528" s="3"/>
      <c r="E528" s="3"/>
      <c r="G528" s="3"/>
    </row>
    <row r="529">
      <c r="C529" s="3"/>
      <c r="D529" s="3"/>
      <c r="E529" s="3"/>
      <c r="G529" s="3"/>
    </row>
    <row r="530">
      <c r="C530" s="3"/>
      <c r="D530" s="3"/>
      <c r="E530" s="3"/>
      <c r="G530" s="3"/>
    </row>
    <row r="531">
      <c r="C531" s="3"/>
      <c r="D531" s="3"/>
      <c r="E531" s="3"/>
      <c r="G531" s="3"/>
    </row>
    <row r="532">
      <c r="C532" s="3"/>
      <c r="D532" s="3"/>
      <c r="E532" s="3"/>
      <c r="G532" s="3"/>
    </row>
    <row r="533">
      <c r="C533" s="3"/>
      <c r="D533" s="3"/>
      <c r="E533" s="3"/>
      <c r="G533" s="3"/>
    </row>
    <row r="534">
      <c r="C534" s="3"/>
      <c r="D534" s="3"/>
      <c r="E534" s="3"/>
      <c r="G534" s="3"/>
    </row>
    <row r="535">
      <c r="C535" s="3"/>
      <c r="D535" s="3"/>
      <c r="E535" s="3"/>
      <c r="G535" s="3"/>
    </row>
    <row r="536">
      <c r="C536" s="3"/>
      <c r="D536" s="3"/>
      <c r="E536" s="3"/>
      <c r="G536" s="3"/>
    </row>
    <row r="537">
      <c r="C537" s="3"/>
      <c r="D537" s="3"/>
      <c r="E537" s="3"/>
      <c r="G537" s="3"/>
    </row>
    <row r="538">
      <c r="C538" s="3"/>
      <c r="D538" s="3"/>
      <c r="E538" s="3"/>
      <c r="G538" s="3"/>
    </row>
    <row r="539">
      <c r="C539" s="3"/>
      <c r="D539" s="3"/>
      <c r="E539" s="3"/>
      <c r="G539" s="3"/>
    </row>
    <row r="540">
      <c r="C540" s="3"/>
      <c r="D540" s="3"/>
      <c r="E540" s="3"/>
      <c r="G540" s="3"/>
    </row>
    <row r="541">
      <c r="C541" s="3"/>
      <c r="D541" s="3"/>
      <c r="E541" s="3"/>
      <c r="G541" s="3"/>
    </row>
    <row r="542">
      <c r="C542" s="3"/>
      <c r="D542" s="3"/>
      <c r="E542" s="3"/>
      <c r="G542" s="3"/>
    </row>
    <row r="543">
      <c r="C543" s="3"/>
      <c r="D543" s="3"/>
      <c r="E543" s="3"/>
      <c r="G543" s="3"/>
    </row>
    <row r="544">
      <c r="C544" s="3"/>
      <c r="D544" s="3"/>
      <c r="E544" s="3"/>
      <c r="G544" s="3"/>
    </row>
    <row r="545">
      <c r="C545" s="3"/>
      <c r="D545" s="3"/>
      <c r="E545" s="3"/>
      <c r="G545" s="3"/>
    </row>
    <row r="546">
      <c r="C546" s="3"/>
      <c r="D546" s="3"/>
      <c r="E546" s="3"/>
      <c r="G546" s="3"/>
    </row>
    <row r="547">
      <c r="C547" s="3"/>
      <c r="D547" s="3"/>
      <c r="E547" s="3"/>
      <c r="G547" s="3"/>
    </row>
    <row r="548">
      <c r="C548" s="3"/>
      <c r="D548" s="3"/>
      <c r="E548" s="3"/>
      <c r="G548" s="3"/>
    </row>
    <row r="549">
      <c r="C549" s="3"/>
      <c r="D549" s="3"/>
      <c r="E549" s="3"/>
      <c r="G549" s="3"/>
    </row>
    <row r="550">
      <c r="C550" s="3"/>
      <c r="D550" s="3"/>
      <c r="E550" s="3"/>
      <c r="G550" s="3"/>
    </row>
    <row r="551">
      <c r="C551" s="3"/>
      <c r="D551" s="3"/>
      <c r="E551" s="3"/>
      <c r="G551" s="3"/>
    </row>
    <row r="552">
      <c r="C552" s="3"/>
      <c r="D552" s="3"/>
      <c r="E552" s="3"/>
      <c r="G552" s="3"/>
    </row>
    <row r="553">
      <c r="C553" s="3"/>
      <c r="D553" s="3"/>
      <c r="E553" s="3"/>
      <c r="G553" s="3"/>
    </row>
    <row r="554">
      <c r="C554" s="3"/>
      <c r="D554" s="3"/>
      <c r="E554" s="3"/>
      <c r="G554" s="3"/>
    </row>
    <row r="555">
      <c r="C555" s="3"/>
      <c r="D555" s="3"/>
      <c r="E555" s="3"/>
      <c r="G555" s="3"/>
    </row>
    <row r="556">
      <c r="C556" s="3"/>
      <c r="D556" s="3"/>
      <c r="E556" s="3"/>
      <c r="G556" s="3"/>
    </row>
    <row r="557">
      <c r="C557" s="3"/>
      <c r="D557" s="3"/>
      <c r="E557" s="3"/>
      <c r="G557" s="3"/>
    </row>
    <row r="558">
      <c r="C558" s="3"/>
      <c r="D558" s="3"/>
      <c r="E558" s="3"/>
      <c r="G558" s="3"/>
    </row>
    <row r="559">
      <c r="C559" s="3"/>
      <c r="D559" s="3"/>
      <c r="E559" s="3"/>
      <c r="G559" s="3"/>
    </row>
    <row r="560">
      <c r="C560" s="3"/>
      <c r="D560" s="3"/>
      <c r="E560" s="3"/>
      <c r="G560" s="3"/>
    </row>
    <row r="561">
      <c r="C561" s="3"/>
      <c r="D561" s="3"/>
      <c r="E561" s="3"/>
      <c r="G561" s="3"/>
    </row>
    <row r="562">
      <c r="C562" s="3"/>
      <c r="D562" s="3"/>
      <c r="E562" s="3"/>
      <c r="G562" s="3"/>
    </row>
    <row r="563">
      <c r="C563" s="3"/>
      <c r="D563" s="3"/>
      <c r="E563" s="3"/>
      <c r="G563" s="3"/>
    </row>
    <row r="564">
      <c r="C564" s="3"/>
      <c r="D564" s="3"/>
      <c r="E564" s="3"/>
      <c r="G564" s="3"/>
    </row>
    <row r="565">
      <c r="C565" s="3"/>
      <c r="D565" s="3"/>
      <c r="E565" s="3"/>
      <c r="G565" s="3"/>
    </row>
    <row r="566">
      <c r="C566" s="3"/>
      <c r="D566" s="3"/>
      <c r="E566" s="3"/>
      <c r="G566" s="3"/>
    </row>
    <row r="567">
      <c r="C567" s="3"/>
      <c r="D567" s="3"/>
      <c r="E567" s="3"/>
      <c r="G567" s="3"/>
    </row>
    <row r="568">
      <c r="C568" s="3"/>
      <c r="D568" s="3"/>
      <c r="E568" s="3"/>
      <c r="G568" s="3"/>
    </row>
    <row r="569">
      <c r="C569" s="3"/>
      <c r="D569" s="3"/>
      <c r="E569" s="3"/>
      <c r="G569" s="3"/>
    </row>
    <row r="570">
      <c r="C570" s="3"/>
      <c r="D570" s="3"/>
      <c r="E570" s="3"/>
      <c r="G570" s="3"/>
    </row>
    <row r="571">
      <c r="C571" s="3"/>
      <c r="D571" s="3"/>
      <c r="E571" s="3"/>
      <c r="G571" s="3"/>
    </row>
    <row r="572">
      <c r="C572" s="3"/>
      <c r="D572" s="3"/>
      <c r="E572" s="3"/>
      <c r="G572" s="3"/>
    </row>
    <row r="573">
      <c r="C573" s="3"/>
      <c r="D573" s="3"/>
      <c r="E573" s="3"/>
      <c r="G573" s="3"/>
    </row>
    <row r="574">
      <c r="C574" s="3"/>
      <c r="D574" s="3"/>
      <c r="E574" s="3"/>
      <c r="G574" s="3"/>
    </row>
    <row r="575">
      <c r="C575" s="3"/>
      <c r="D575" s="3"/>
      <c r="E575" s="3"/>
      <c r="G575" s="3"/>
    </row>
    <row r="576">
      <c r="C576" s="3"/>
      <c r="D576" s="3"/>
      <c r="E576" s="3"/>
      <c r="G576" s="3"/>
    </row>
    <row r="577">
      <c r="C577" s="3"/>
      <c r="D577" s="3"/>
      <c r="E577" s="3"/>
      <c r="G577" s="3"/>
    </row>
    <row r="578">
      <c r="C578" s="3"/>
      <c r="D578" s="3"/>
      <c r="E578" s="3"/>
      <c r="G578" s="3"/>
    </row>
    <row r="579">
      <c r="C579" s="3"/>
      <c r="D579" s="3"/>
      <c r="E579" s="3"/>
      <c r="G579" s="3"/>
    </row>
    <row r="580">
      <c r="C580" s="3"/>
      <c r="D580" s="3"/>
      <c r="E580" s="3"/>
      <c r="G580" s="3"/>
    </row>
    <row r="581">
      <c r="C581" s="3"/>
      <c r="D581" s="3"/>
      <c r="E581" s="3"/>
      <c r="G581" s="3"/>
    </row>
    <row r="582">
      <c r="C582" s="3"/>
      <c r="D582" s="3"/>
      <c r="E582" s="3"/>
      <c r="G582" s="3"/>
    </row>
    <row r="583">
      <c r="C583" s="3"/>
      <c r="D583" s="3"/>
      <c r="E583" s="3"/>
      <c r="G583" s="3"/>
    </row>
    <row r="584">
      <c r="C584" s="3"/>
      <c r="D584" s="3"/>
      <c r="E584" s="3"/>
      <c r="G584" s="3"/>
    </row>
    <row r="585">
      <c r="C585" s="3"/>
      <c r="D585" s="3"/>
      <c r="E585" s="3"/>
      <c r="G585" s="3"/>
    </row>
    <row r="586">
      <c r="C586" s="3"/>
      <c r="D586" s="3"/>
      <c r="E586" s="3"/>
      <c r="G586" s="3"/>
    </row>
    <row r="587">
      <c r="C587" s="3"/>
      <c r="D587" s="3"/>
      <c r="E587" s="3"/>
      <c r="G587" s="3"/>
    </row>
    <row r="588">
      <c r="C588" s="3"/>
      <c r="D588" s="3"/>
      <c r="E588" s="3"/>
      <c r="G588" s="3"/>
    </row>
    <row r="589">
      <c r="C589" s="3"/>
      <c r="D589" s="3"/>
      <c r="E589" s="3"/>
      <c r="G589" s="3"/>
    </row>
    <row r="590">
      <c r="C590" s="3"/>
      <c r="D590" s="3"/>
      <c r="E590" s="3"/>
      <c r="G590" s="3"/>
    </row>
    <row r="591">
      <c r="C591" s="3"/>
      <c r="D591" s="3"/>
      <c r="E591" s="3"/>
      <c r="G591" s="3"/>
    </row>
    <row r="592">
      <c r="C592" s="3"/>
      <c r="D592" s="3"/>
      <c r="E592" s="3"/>
      <c r="G592" s="3"/>
    </row>
    <row r="593">
      <c r="C593" s="3"/>
      <c r="D593" s="3"/>
      <c r="E593" s="3"/>
      <c r="G593" s="3"/>
    </row>
    <row r="594">
      <c r="C594" s="3"/>
      <c r="D594" s="3"/>
      <c r="E594" s="3"/>
      <c r="G594" s="3"/>
    </row>
    <row r="595">
      <c r="C595" s="3"/>
      <c r="D595" s="3"/>
      <c r="E595" s="3"/>
      <c r="G595" s="3"/>
    </row>
    <row r="596">
      <c r="C596" s="3"/>
      <c r="D596" s="3"/>
      <c r="E596" s="3"/>
      <c r="G596" s="3"/>
    </row>
    <row r="597">
      <c r="C597" s="3"/>
      <c r="D597" s="3"/>
      <c r="E597" s="3"/>
      <c r="G597" s="3"/>
    </row>
    <row r="598">
      <c r="C598" s="3"/>
      <c r="D598" s="3"/>
      <c r="E598" s="3"/>
      <c r="G598" s="3"/>
    </row>
    <row r="599">
      <c r="C599" s="3"/>
      <c r="D599" s="3"/>
      <c r="E599" s="3"/>
      <c r="G599" s="3"/>
    </row>
    <row r="600">
      <c r="C600" s="3"/>
      <c r="D600" s="3"/>
      <c r="E600" s="3"/>
      <c r="G600" s="3"/>
    </row>
    <row r="601">
      <c r="C601" s="3"/>
      <c r="D601" s="3"/>
      <c r="E601" s="3"/>
      <c r="G601" s="3"/>
    </row>
    <row r="602">
      <c r="C602" s="3"/>
      <c r="D602" s="3"/>
      <c r="E602" s="3"/>
      <c r="G602" s="3"/>
    </row>
    <row r="603">
      <c r="C603" s="3"/>
      <c r="D603" s="3"/>
      <c r="E603" s="3"/>
      <c r="G603" s="3"/>
    </row>
    <row r="604">
      <c r="C604" s="3"/>
      <c r="D604" s="3"/>
      <c r="E604" s="3"/>
      <c r="G604" s="3"/>
    </row>
    <row r="605">
      <c r="C605" s="3"/>
      <c r="D605" s="3"/>
      <c r="E605" s="3"/>
      <c r="G605" s="3"/>
    </row>
    <row r="606">
      <c r="C606" s="3"/>
      <c r="D606" s="3"/>
      <c r="E606" s="3"/>
      <c r="G606" s="3"/>
    </row>
    <row r="607">
      <c r="C607" s="3"/>
      <c r="D607" s="3"/>
      <c r="E607" s="3"/>
      <c r="G607" s="3"/>
    </row>
    <row r="608">
      <c r="C608" s="3"/>
      <c r="D608" s="3"/>
      <c r="E608" s="3"/>
      <c r="G608" s="3"/>
    </row>
    <row r="609">
      <c r="C609" s="3"/>
      <c r="D609" s="3"/>
      <c r="E609" s="3"/>
      <c r="G609" s="3"/>
    </row>
    <row r="610">
      <c r="C610" s="3"/>
      <c r="D610" s="3"/>
      <c r="E610" s="3"/>
      <c r="G610" s="3"/>
    </row>
    <row r="611">
      <c r="C611" s="3"/>
      <c r="D611" s="3"/>
      <c r="E611" s="3"/>
      <c r="G611" s="3"/>
    </row>
    <row r="612">
      <c r="C612" s="3"/>
      <c r="D612" s="3"/>
      <c r="E612" s="3"/>
      <c r="G612" s="3"/>
    </row>
    <row r="613">
      <c r="C613" s="3"/>
      <c r="D613" s="3"/>
      <c r="E613" s="3"/>
      <c r="G613" s="3"/>
    </row>
    <row r="614">
      <c r="C614" s="3"/>
      <c r="D614" s="3"/>
      <c r="E614" s="3"/>
      <c r="G614" s="3"/>
    </row>
    <row r="615">
      <c r="C615" s="3"/>
      <c r="D615" s="3"/>
      <c r="E615" s="3"/>
      <c r="G615" s="3"/>
    </row>
    <row r="616">
      <c r="C616" s="3"/>
      <c r="D616" s="3"/>
      <c r="E616" s="3"/>
      <c r="G616" s="3"/>
    </row>
    <row r="617">
      <c r="C617" s="3"/>
      <c r="D617" s="3"/>
      <c r="E617" s="3"/>
      <c r="G617" s="3"/>
    </row>
    <row r="618">
      <c r="C618" s="3"/>
      <c r="D618" s="3"/>
      <c r="E618" s="3"/>
      <c r="G618" s="3"/>
    </row>
    <row r="619">
      <c r="C619" s="3"/>
      <c r="D619" s="3"/>
      <c r="E619" s="3"/>
      <c r="G619" s="3"/>
    </row>
    <row r="620">
      <c r="C620" s="3"/>
      <c r="D620" s="3"/>
      <c r="E620" s="3"/>
      <c r="G620" s="3"/>
    </row>
    <row r="621">
      <c r="C621" s="3"/>
      <c r="D621" s="3"/>
      <c r="E621" s="3"/>
      <c r="G621" s="3"/>
    </row>
    <row r="622">
      <c r="C622" s="3"/>
      <c r="D622" s="3"/>
      <c r="E622" s="3"/>
      <c r="G622" s="3"/>
    </row>
    <row r="623">
      <c r="C623" s="3"/>
      <c r="D623" s="3"/>
      <c r="E623" s="3"/>
      <c r="G623" s="3"/>
    </row>
    <row r="624">
      <c r="C624" s="3"/>
      <c r="D624" s="3"/>
      <c r="E624" s="3"/>
      <c r="G624" s="3"/>
    </row>
    <row r="625">
      <c r="C625" s="3"/>
      <c r="D625" s="3"/>
      <c r="E625" s="3"/>
      <c r="G625" s="3"/>
    </row>
    <row r="626">
      <c r="C626" s="3"/>
      <c r="D626" s="3"/>
      <c r="E626" s="3"/>
      <c r="G626" s="3"/>
    </row>
    <row r="627">
      <c r="C627" s="3"/>
      <c r="D627" s="3"/>
      <c r="E627" s="3"/>
      <c r="G627" s="3"/>
    </row>
    <row r="628">
      <c r="C628" s="3"/>
      <c r="D628" s="3"/>
      <c r="E628" s="3"/>
      <c r="G628" s="3"/>
    </row>
    <row r="629">
      <c r="C629" s="3"/>
      <c r="D629" s="3"/>
      <c r="E629" s="3"/>
      <c r="G629" s="3"/>
    </row>
    <row r="630">
      <c r="C630" s="3"/>
      <c r="D630" s="3"/>
      <c r="E630" s="3"/>
      <c r="G630" s="3"/>
    </row>
    <row r="631">
      <c r="C631" s="3"/>
      <c r="D631" s="3"/>
      <c r="E631" s="3"/>
      <c r="G631" s="3"/>
    </row>
    <row r="632">
      <c r="C632" s="3"/>
      <c r="D632" s="3"/>
      <c r="E632" s="3"/>
      <c r="G632" s="3"/>
    </row>
    <row r="633">
      <c r="C633" s="3"/>
      <c r="D633" s="3"/>
      <c r="E633" s="3"/>
      <c r="G633" s="3"/>
    </row>
    <row r="634">
      <c r="C634" s="3"/>
      <c r="D634" s="3"/>
      <c r="E634" s="3"/>
      <c r="G634" s="3"/>
    </row>
    <row r="635">
      <c r="C635" s="3"/>
      <c r="D635" s="3"/>
      <c r="E635" s="3"/>
      <c r="G635" s="3"/>
    </row>
    <row r="636">
      <c r="C636" s="3"/>
      <c r="D636" s="3"/>
      <c r="E636" s="3"/>
      <c r="G636" s="3"/>
    </row>
    <row r="637">
      <c r="C637" s="3"/>
      <c r="D637" s="3"/>
      <c r="E637" s="3"/>
      <c r="G637" s="3"/>
    </row>
    <row r="638">
      <c r="C638" s="3"/>
      <c r="D638" s="3"/>
      <c r="E638" s="3"/>
      <c r="G638" s="3"/>
    </row>
    <row r="639">
      <c r="C639" s="3"/>
      <c r="D639" s="3"/>
      <c r="E639" s="3"/>
      <c r="G639" s="3"/>
    </row>
    <row r="640">
      <c r="C640" s="3"/>
      <c r="D640" s="3"/>
      <c r="E640" s="3"/>
      <c r="G640" s="3"/>
    </row>
    <row r="641">
      <c r="C641" s="3"/>
      <c r="D641" s="3"/>
      <c r="E641" s="3"/>
      <c r="G641" s="3"/>
    </row>
    <row r="642">
      <c r="C642" s="3"/>
      <c r="D642" s="3"/>
      <c r="E642" s="3"/>
      <c r="G642" s="3"/>
    </row>
    <row r="643">
      <c r="C643" s="3"/>
      <c r="D643" s="3"/>
      <c r="E643" s="3"/>
      <c r="G643" s="3"/>
    </row>
    <row r="644">
      <c r="C644" s="3"/>
      <c r="D644" s="3"/>
      <c r="E644" s="3"/>
      <c r="G644" s="3"/>
    </row>
    <row r="645">
      <c r="C645" s="3"/>
      <c r="D645" s="3"/>
      <c r="E645" s="3"/>
      <c r="G645" s="3"/>
    </row>
    <row r="646">
      <c r="C646" s="3"/>
      <c r="D646" s="3"/>
      <c r="E646" s="3"/>
      <c r="G646" s="3"/>
    </row>
    <row r="647">
      <c r="C647" s="3"/>
      <c r="D647" s="3"/>
      <c r="E647" s="3"/>
      <c r="G647" s="3"/>
    </row>
    <row r="648">
      <c r="C648" s="3"/>
      <c r="D648" s="3"/>
      <c r="E648" s="3"/>
      <c r="G648" s="3"/>
    </row>
    <row r="649">
      <c r="C649" s="3"/>
      <c r="D649" s="3"/>
      <c r="E649" s="3"/>
      <c r="G649" s="3"/>
    </row>
    <row r="650">
      <c r="C650" s="3"/>
      <c r="D650" s="3"/>
      <c r="E650" s="3"/>
      <c r="G650" s="3"/>
    </row>
    <row r="651">
      <c r="C651" s="3"/>
      <c r="D651" s="3"/>
      <c r="E651" s="3"/>
      <c r="G651" s="3"/>
    </row>
    <row r="652">
      <c r="C652" s="3"/>
      <c r="D652" s="3"/>
      <c r="E652" s="3"/>
      <c r="G652" s="3"/>
    </row>
    <row r="653">
      <c r="C653" s="3"/>
      <c r="D653" s="3"/>
      <c r="E653" s="3"/>
      <c r="G653" s="3"/>
    </row>
    <row r="654">
      <c r="C654" s="3"/>
      <c r="D654" s="3"/>
      <c r="E654" s="3"/>
      <c r="G654" s="3"/>
    </row>
    <row r="655">
      <c r="C655" s="3"/>
      <c r="D655" s="3"/>
      <c r="E655" s="3"/>
      <c r="G655" s="3"/>
    </row>
    <row r="656">
      <c r="C656" s="3"/>
      <c r="D656" s="3"/>
      <c r="E656" s="3"/>
      <c r="G656" s="3"/>
    </row>
    <row r="657">
      <c r="C657" s="3"/>
      <c r="D657" s="3"/>
      <c r="E657" s="3"/>
      <c r="G657" s="3"/>
    </row>
    <row r="658">
      <c r="C658" s="3"/>
      <c r="D658" s="3"/>
      <c r="E658" s="3"/>
      <c r="G658" s="3"/>
    </row>
    <row r="659">
      <c r="C659" s="3"/>
      <c r="D659" s="3"/>
      <c r="E659" s="3"/>
      <c r="G659" s="3"/>
    </row>
    <row r="660">
      <c r="C660" s="3"/>
      <c r="D660" s="3"/>
      <c r="E660" s="3"/>
      <c r="G660" s="3"/>
    </row>
    <row r="661">
      <c r="C661" s="3"/>
      <c r="D661" s="3"/>
      <c r="E661" s="3"/>
      <c r="G661" s="3"/>
    </row>
    <row r="662">
      <c r="C662" s="3"/>
      <c r="D662" s="3"/>
      <c r="E662" s="3"/>
      <c r="G662" s="3"/>
    </row>
    <row r="663">
      <c r="C663" s="3"/>
      <c r="D663" s="3"/>
      <c r="E663" s="3"/>
      <c r="G663" s="3"/>
    </row>
    <row r="664">
      <c r="C664" s="3"/>
      <c r="D664" s="3"/>
      <c r="E664" s="3"/>
      <c r="G664" s="3"/>
    </row>
    <row r="665">
      <c r="C665" s="3"/>
      <c r="D665" s="3"/>
      <c r="E665" s="3"/>
      <c r="G665" s="3"/>
    </row>
    <row r="666">
      <c r="C666" s="3"/>
      <c r="D666" s="3"/>
      <c r="E666" s="3"/>
      <c r="G666" s="3"/>
    </row>
    <row r="667">
      <c r="C667" s="3"/>
      <c r="D667" s="3"/>
      <c r="E667" s="3"/>
      <c r="G667" s="3"/>
    </row>
    <row r="668">
      <c r="C668" s="3"/>
      <c r="D668" s="3"/>
      <c r="E668" s="3"/>
      <c r="G668" s="3"/>
    </row>
    <row r="669">
      <c r="C669" s="3"/>
      <c r="D669" s="3"/>
      <c r="E669" s="3"/>
      <c r="G669" s="3"/>
    </row>
    <row r="670">
      <c r="C670" s="3"/>
      <c r="D670" s="3"/>
      <c r="E670" s="3"/>
      <c r="G670" s="3"/>
    </row>
    <row r="671">
      <c r="C671" s="3"/>
      <c r="D671" s="3"/>
      <c r="E671" s="3"/>
      <c r="G671" s="3"/>
    </row>
    <row r="672">
      <c r="C672" s="3"/>
      <c r="D672" s="3"/>
      <c r="E672" s="3"/>
      <c r="G672" s="3"/>
    </row>
    <row r="673">
      <c r="C673" s="3"/>
      <c r="D673" s="3"/>
      <c r="E673" s="3"/>
      <c r="G673" s="3"/>
    </row>
    <row r="674">
      <c r="C674" s="3"/>
      <c r="D674" s="3"/>
      <c r="E674" s="3"/>
      <c r="G674" s="3"/>
    </row>
    <row r="675">
      <c r="C675" s="3"/>
      <c r="D675" s="3"/>
      <c r="E675" s="3"/>
      <c r="G675" s="3"/>
    </row>
    <row r="676">
      <c r="C676" s="3"/>
      <c r="D676" s="3"/>
      <c r="E676" s="3"/>
      <c r="G676" s="3"/>
    </row>
    <row r="677">
      <c r="C677" s="3"/>
      <c r="D677" s="3"/>
      <c r="E677" s="3"/>
      <c r="G677" s="3"/>
    </row>
    <row r="678">
      <c r="C678" s="3"/>
      <c r="D678" s="3"/>
      <c r="E678" s="3"/>
      <c r="G678" s="3"/>
    </row>
    <row r="679">
      <c r="C679" s="3"/>
      <c r="D679" s="3"/>
      <c r="E679" s="3"/>
      <c r="G679" s="3"/>
    </row>
    <row r="680">
      <c r="C680" s="3"/>
      <c r="D680" s="3"/>
      <c r="E680" s="3"/>
      <c r="G680" s="3"/>
    </row>
    <row r="681">
      <c r="C681" s="3"/>
      <c r="D681" s="3"/>
      <c r="E681" s="3"/>
      <c r="G681" s="3"/>
    </row>
    <row r="682">
      <c r="C682" s="3"/>
      <c r="D682" s="3"/>
      <c r="E682" s="3"/>
      <c r="G682" s="3"/>
    </row>
    <row r="683">
      <c r="C683" s="3"/>
      <c r="D683" s="3"/>
      <c r="E683" s="3"/>
      <c r="G683" s="3"/>
    </row>
    <row r="684">
      <c r="C684" s="3"/>
      <c r="D684" s="3"/>
      <c r="E684" s="3"/>
      <c r="G684" s="3"/>
    </row>
    <row r="685">
      <c r="C685" s="3"/>
      <c r="D685" s="3"/>
      <c r="E685" s="3"/>
      <c r="G685" s="3"/>
    </row>
    <row r="686">
      <c r="C686" s="3"/>
      <c r="D686" s="3"/>
      <c r="E686" s="3"/>
      <c r="G686" s="3"/>
    </row>
    <row r="687">
      <c r="C687" s="3"/>
      <c r="D687" s="3"/>
      <c r="E687" s="3"/>
      <c r="G687" s="3"/>
    </row>
    <row r="688">
      <c r="C688" s="3"/>
      <c r="D688" s="3"/>
      <c r="E688" s="3"/>
      <c r="G688" s="3"/>
    </row>
    <row r="689">
      <c r="C689" s="3"/>
      <c r="D689" s="3"/>
      <c r="E689" s="3"/>
      <c r="G689" s="3"/>
    </row>
    <row r="690">
      <c r="C690" s="3"/>
      <c r="D690" s="3"/>
      <c r="E690" s="3"/>
      <c r="G690" s="3"/>
    </row>
    <row r="691">
      <c r="C691" s="3"/>
      <c r="D691" s="3"/>
      <c r="E691" s="3"/>
      <c r="G691" s="3"/>
    </row>
    <row r="692">
      <c r="C692" s="3"/>
      <c r="D692" s="3"/>
      <c r="E692" s="3"/>
      <c r="G692" s="3"/>
    </row>
    <row r="693">
      <c r="C693" s="3"/>
      <c r="D693" s="3"/>
      <c r="E693" s="3"/>
      <c r="G693" s="3"/>
    </row>
    <row r="694">
      <c r="C694" s="3"/>
      <c r="D694" s="3"/>
      <c r="E694" s="3"/>
      <c r="G694" s="3"/>
    </row>
    <row r="695">
      <c r="C695" s="3"/>
      <c r="D695" s="3"/>
      <c r="E695" s="3"/>
      <c r="G695" s="3"/>
    </row>
    <row r="696">
      <c r="C696" s="3"/>
      <c r="D696" s="3"/>
      <c r="E696" s="3"/>
      <c r="G696" s="3"/>
    </row>
    <row r="697">
      <c r="C697" s="3"/>
      <c r="D697" s="3"/>
      <c r="E697" s="3"/>
      <c r="G697" s="3"/>
    </row>
    <row r="698">
      <c r="C698" s="3"/>
      <c r="D698" s="3"/>
      <c r="E698" s="3"/>
      <c r="G698" s="3"/>
    </row>
    <row r="699">
      <c r="C699" s="3"/>
      <c r="D699" s="3"/>
      <c r="E699" s="3"/>
      <c r="G699" s="3"/>
    </row>
    <row r="700">
      <c r="C700" s="3"/>
      <c r="D700" s="3"/>
      <c r="E700" s="3"/>
      <c r="G700" s="3"/>
    </row>
    <row r="701">
      <c r="C701" s="3"/>
      <c r="D701" s="3"/>
      <c r="E701" s="3"/>
      <c r="G701" s="3"/>
    </row>
    <row r="702">
      <c r="C702" s="3"/>
      <c r="D702" s="3"/>
      <c r="E702" s="3"/>
      <c r="G702" s="3"/>
    </row>
    <row r="703">
      <c r="C703" s="3"/>
      <c r="D703" s="3"/>
      <c r="E703" s="3"/>
      <c r="G703" s="3"/>
    </row>
    <row r="704">
      <c r="C704" s="3"/>
      <c r="D704" s="3"/>
      <c r="E704" s="3"/>
      <c r="G704" s="3"/>
    </row>
    <row r="705">
      <c r="C705" s="3"/>
      <c r="D705" s="3"/>
      <c r="E705" s="3"/>
      <c r="G705" s="3"/>
    </row>
    <row r="706">
      <c r="C706" s="3"/>
      <c r="D706" s="3"/>
      <c r="E706" s="3"/>
      <c r="G706" s="3"/>
    </row>
    <row r="707">
      <c r="C707" s="3"/>
      <c r="D707" s="3"/>
      <c r="E707" s="3"/>
      <c r="G707" s="3"/>
    </row>
    <row r="708">
      <c r="C708" s="3"/>
      <c r="D708" s="3"/>
      <c r="E708" s="3"/>
      <c r="G708" s="3"/>
    </row>
    <row r="709">
      <c r="C709" s="3"/>
      <c r="D709" s="3"/>
      <c r="E709" s="3"/>
      <c r="G709" s="3"/>
    </row>
    <row r="710">
      <c r="C710" s="3"/>
      <c r="D710" s="3"/>
      <c r="E710" s="3"/>
      <c r="G710" s="3"/>
    </row>
    <row r="711">
      <c r="C711" s="3"/>
      <c r="D711" s="3"/>
      <c r="E711" s="3"/>
      <c r="G711" s="3"/>
    </row>
    <row r="712">
      <c r="C712" s="3"/>
      <c r="D712" s="3"/>
      <c r="E712" s="3"/>
      <c r="G712" s="3"/>
    </row>
    <row r="713">
      <c r="C713" s="3"/>
      <c r="D713" s="3"/>
      <c r="E713" s="3"/>
      <c r="G713" s="3"/>
    </row>
    <row r="714">
      <c r="C714" s="3"/>
      <c r="D714" s="3"/>
      <c r="E714" s="3"/>
      <c r="G714" s="3"/>
    </row>
    <row r="715">
      <c r="C715" s="3"/>
      <c r="D715" s="3"/>
      <c r="E715" s="3"/>
      <c r="G715" s="3"/>
    </row>
    <row r="716">
      <c r="C716" s="3"/>
      <c r="D716" s="3"/>
      <c r="E716" s="3"/>
      <c r="G716" s="3"/>
    </row>
    <row r="717">
      <c r="C717" s="3"/>
      <c r="D717" s="3"/>
      <c r="E717" s="3"/>
      <c r="G717" s="3"/>
    </row>
    <row r="718">
      <c r="C718" s="3"/>
      <c r="D718" s="3"/>
      <c r="E718" s="3"/>
      <c r="G718" s="3"/>
    </row>
    <row r="719">
      <c r="C719" s="3"/>
      <c r="D719" s="3"/>
      <c r="E719" s="3"/>
      <c r="G719" s="3"/>
    </row>
    <row r="720">
      <c r="C720" s="3"/>
      <c r="D720" s="3"/>
      <c r="E720" s="3"/>
      <c r="G720" s="3"/>
    </row>
    <row r="721">
      <c r="C721" s="3"/>
      <c r="D721" s="3"/>
      <c r="E721" s="3"/>
      <c r="G721" s="3"/>
    </row>
    <row r="722">
      <c r="C722" s="3"/>
      <c r="D722" s="3"/>
      <c r="E722" s="3"/>
      <c r="G722" s="3"/>
    </row>
    <row r="723">
      <c r="C723" s="3"/>
      <c r="D723" s="3"/>
      <c r="E723" s="3"/>
      <c r="G723" s="3"/>
    </row>
    <row r="724">
      <c r="C724" s="3"/>
      <c r="D724" s="3"/>
      <c r="E724" s="3"/>
      <c r="G724" s="3"/>
    </row>
    <row r="725">
      <c r="C725" s="3"/>
      <c r="D725" s="3"/>
      <c r="E725" s="3"/>
      <c r="G725" s="3"/>
    </row>
    <row r="726">
      <c r="C726" s="3"/>
      <c r="D726" s="3"/>
      <c r="E726" s="3"/>
      <c r="G726" s="3"/>
    </row>
    <row r="727">
      <c r="C727" s="3"/>
      <c r="D727" s="3"/>
      <c r="E727" s="3"/>
      <c r="G727" s="3"/>
    </row>
    <row r="728">
      <c r="C728" s="3"/>
      <c r="D728" s="3"/>
      <c r="E728" s="3"/>
      <c r="G728" s="3"/>
    </row>
    <row r="729">
      <c r="C729" s="3"/>
      <c r="D729" s="3"/>
      <c r="E729" s="3"/>
      <c r="G729" s="3"/>
    </row>
    <row r="730">
      <c r="C730" s="3"/>
      <c r="D730" s="3"/>
      <c r="E730" s="3"/>
      <c r="G730" s="3"/>
    </row>
    <row r="731">
      <c r="C731" s="3"/>
      <c r="D731" s="3"/>
      <c r="E731" s="3"/>
      <c r="G731" s="3"/>
    </row>
    <row r="732">
      <c r="C732" s="3"/>
      <c r="D732" s="3"/>
      <c r="E732" s="3"/>
      <c r="G732" s="3"/>
    </row>
    <row r="733">
      <c r="C733" s="3"/>
      <c r="D733" s="3"/>
      <c r="E733" s="3"/>
      <c r="G733" s="3"/>
    </row>
    <row r="734">
      <c r="C734" s="3"/>
      <c r="D734" s="3"/>
      <c r="E734" s="3"/>
      <c r="G734" s="3"/>
    </row>
    <row r="735">
      <c r="C735" s="3"/>
      <c r="D735" s="3"/>
      <c r="E735" s="3"/>
      <c r="G735" s="3"/>
    </row>
    <row r="736">
      <c r="C736" s="3"/>
      <c r="D736" s="3"/>
      <c r="E736" s="3"/>
      <c r="G736" s="3"/>
    </row>
    <row r="737">
      <c r="C737" s="3"/>
      <c r="D737" s="3"/>
      <c r="E737" s="3"/>
      <c r="G737" s="3"/>
    </row>
    <row r="738">
      <c r="C738" s="3"/>
      <c r="D738" s="3"/>
      <c r="E738" s="3"/>
      <c r="G738" s="3"/>
    </row>
    <row r="739">
      <c r="C739" s="3"/>
      <c r="D739" s="3"/>
      <c r="E739" s="3"/>
      <c r="G739" s="3"/>
    </row>
    <row r="740">
      <c r="C740" s="3"/>
      <c r="D740" s="3"/>
      <c r="E740" s="3"/>
      <c r="G740" s="3"/>
    </row>
    <row r="741">
      <c r="C741" s="3"/>
      <c r="D741" s="3"/>
      <c r="E741" s="3"/>
      <c r="G741" s="3"/>
    </row>
    <row r="742">
      <c r="C742" s="3"/>
      <c r="D742" s="3"/>
      <c r="E742" s="3"/>
      <c r="G742" s="3"/>
    </row>
    <row r="743">
      <c r="C743" s="3"/>
      <c r="D743" s="3"/>
      <c r="E743" s="3"/>
      <c r="G743" s="3"/>
    </row>
    <row r="744">
      <c r="C744" s="3"/>
      <c r="D744" s="3"/>
      <c r="E744" s="3"/>
      <c r="G744" s="3"/>
    </row>
    <row r="745">
      <c r="C745" s="3"/>
      <c r="D745" s="3"/>
      <c r="E745" s="3"/>
      <c r="G745" s="3"/>
    </row>
    <row r="746">
      <c r="C746" s="3"/>
      <c r="D746" s="3"/>
      <c r="E746" s="3"/>
      <c r="G746" s="3"/>
    </row>
    <row r="747">
      <c r="C747" s="3"/>
      <c r="D747" s="3"/>
      <c r="E747" s="3"/>
      <c r="G747" s="3"/>
    </row>
    <row r="748">
      <c r="C748" s="3"/>
      <c r="D748" s="3"/>
      <c r="E748" s="3"/>
      <c r="G748" s="3"/>
    </row>
    <row r="749">
      <c r="C749" s="3"/>
      <c r="D749" s="3"/>
      <c r="E749" s="3"/>
      <c r="G749" s="3"/>
    </row>
    <row r="750">
      <c r="C750" s="3"/>
      <c r="D750" s="3"/>
      <c r="E750" s="3"/>
      <c r="G750" s="3"/>
    </row>
    <row r="751">
      <c r="C751" s="3"/>
      <c r="D751" s="3"/>
      <c r="E751" s="3"/>
      <c r="G751" s="3"/>
    </row>
    <row r="752">
      <c r="C752" s="3"/>
      <c r="D752" s="3"/>
      <c r="E752" s="3"/>
      <c r="G752" s="3"/>
    </row>
    <row r="753">
      <c r="C753" s="3"/>
      <c r="D753" s="3"/>
      <c r="E753" s="3"/>
      <c r="G753" s="3"/>
    </row>
    <row r="754">
      <c r="C754" s="3"/>
      <c r="D754" s="3"/>
      <c r="E754" s="3"/>
      <c r="G754" s="3"/>
    </row>
    <row r="755">
      <c r="C755" s="3"/>
      <c r="D755" s="3"/>
      <c r="E755" s="3"/>
      <c r="G755" s="3"/>
    </row>
    <row r="756">
      <c r="C756" s="3"/>
      <c r="D756" s="3"/>
      <c r="E756" s="3"/>
      <c r="G756" s="3"/>
    </row>
    <row r="757">
      <c r="C757" s="3"/>
      <c r="D757" s="3"/>
      <c r="E757" s="3"/>
      <c r="G757" s="3"/>
    </row>
    <row r="758">
      <c r="C758" s="3"/>
      <c r="D758" s="3"/>
      <c r="E758" s="3"/>
      <c r="G758" s="3"/>
    </row>
    <row r="759">
      <c r="C759" s="3"/>
      <c r="D759" s="3"/>
      <c r="E759" s="3"/>
      <c r="G759" s="3"/>
    </row>
    <row r="760">
      <c r="C760" s="3"/>
      <c r="D760" s="3"/>
      <c r="E760" s="3"/>
      <c r="G760" s="3"/>
    </row>
    <row r="761">
      <c r="C761" s="3"/>
      <c r="D761" s="3"/>
      <c r="E761" s="3"/>
      <c r="G761" s="3"/>
    </row>
    <row r="762">
      <c r="C762" s="3"/>
      <c r="D762" s="3"/>
      <c r="E762" s="3"/>
      <c r="G762" s="3"/>
    </row>
    <row r="763">
      <c r="C763" s="3"/>
      <c r="D763" s="3"/>
      <c r="E763" s="3"/>
      <c r="G763" s="3"/>
    </row>
    <row r="764">
      <c r="C764" s="3"/>
      <c r="D764" s="3"/>
      <c r="E764" s="3"/>
      <c r="G764" s="3"/>
    </row>
    <row r="765">
      <c r="C765" s="3"/>
      <c r="D765" s="3"/>
      <c r="E765" s="3"/>
      <c r="G765" s="3"/>
    </row>
    <row r="766">
      <c r="C766" s="3"/>
      <c r="D766" s="3"/>
      <c r="E766" s="3"/>
      <c r="G766" s="3"/>
    </row>
    <row r="767">
      <c r="C767" s="3"/>
      <c r="D767" s="3"/>
      <c r="E767" s="3"/>
      <c r="G767" s="3"/>
    </row>
    <row r="768">
      <c r="C768" s="3"/>
      <c r="D768" s="3"/>
      <c r="E768" s="3"/>
      <c r="G768" s="3"/>
    </row>
    <row r="769">
      <c r="C769" s="3"/>
      <c r="D769" s="3"/>
      <c r="E769" s="3"/>
      <c r="G769" s="3"/>
    </row>
    <row r="770">
      <c r="C770" s="3"/>
      <c r="D770" s="3"/>
      <c r="E770" s="3"/>
      <c r="G770" s="3"/>
    </row>
    <row r="771">
      <c r="C771" s="3"/>
      <c r="D771" s="3"/>
      <c r="E771" s="3"/>
      <c r="G771" s="3"/>
    </row>
    <row r="772">
      <c r="C772" s="3"/>
      <c r="D772" s="3"/>
      <c r="E772" s="3"/>
      <c r="G772" s="3"/>
    </row>
    <row r="773">
      <c r="C773" s="3"/>
      <c r="D773" s="3"/>
      <c r="E773" s="3"/>
      <c r="G773" s="3"/>
    </row>
    <row r="774">
      <c r="C774" s="3"/>
      <c r="D774" s="3"/>
      <c r="E774" s="3"/>
      <c r="G774" s="3"/>
    </row>
    <row r="775">
      <c r="C775" s="3"/>
      <c r="D775" s="3"/>
      <c r="E775" s="3"/>
      <c r="G775" s="3"/>
    </row>
    <row r="776">
      <c r="C776" s="3"/>
      <c r="D776" s="3"/>
      <c r="E776" s="3"/>
      <c r="G776" s="3"/>
    </row>
    <row r="777">
      <c r="C777" s="3"/>
      <c r="D777" s="3"/>
      <c r="E777" s="3"/>
      <c r="G777" s="3"/>
    </row>
    <row r="778">
      <c r="C778" s="3"/>
      <c r="D778" s="3"/>
      <c r="E778" s="3"/>
      <c r="G778" s="3"/>
    </row>
    <row r="779">
      <c r="C779" s="3"/>
      <c r="D779" s="3"/>
      <c r="E779" s="3"/>
      <c r="G779" s="3"/>
    </row>
    <row r="780">
      <c r="C780" s="3"/>
      <c r="D780" s="3"/>
      <c r="E780" s="3"/>
      <c r="G780" s="3"/>
    </row>
    <row r="781">
      <c r="C781" s="3"/>
      <c r="D781" s="3"/>
      <c r="E781" s="3"/>
      <c r="G781" s="3"/>
    </row>
    <row r="782">
      <c r="C782" s="3"/>
      <c r="D782" s="3"/>
      <c r="E782" s="3"/>
      <c r="G782" s="3"/>
    </row>
    <row r="783">
      <c r="C783" s="3"/>
      <c r="D783" s="3"/>
      <c r="E783" s="3"/>
      <c r="G783" s="3"/>
    </row>
    <row r="784">
      <c r="C784" s="3"/>
      <c r="D784" s="3"/>
      <c r="E784" s="3"/>
      <c r="G784" s="3"/>
    </row>
    <row r="785">
      <c r="C785" s="3"/>
      <c r="D785" s="3"/>
      <c r="E785" s="3"/>
      <c r="G785" s="3"/>
    </row>
    <row r="786">
      <c r="C786" s="3"/>
      <c r="D786" s="3"/>
      <c r="E786" s="3"/>
      <c r="G786" s="3"/>
    </row>
    <row r="787">
      <c r="C787" s="3"/>
      <c r="D787" s="3"/>
      <c r="E787" s="3"/>
      <c r="G787" s="3"/>
    </row>
    <row r="788">
      <c r="C788" s="3"/>
      <c r="D788" s="3"/>
      <c r="E788" s="3"/>
      <c r="G788" s="3"/>
    </row>
    <row r="789">
      <c r="C789" s="3"/>
      <c r="D789" s="3"/>
      <c r="E789" s="3"/>
      <c r="G789" s="3"/>
    </row>
    <row r="790">
      <c r="C790" s="3"/>
      <c r="D790" s="3"/>
      <c r="E790" s="3"/>
      <c r="G790" s="3"/>
    </row>
    <row r="791">
      <c r="C791" s="3"/>
      <c r="D791" s="3"/>
      <c r="E791" s="3"/>
      <c r="G791" s="3"/>
    </row>
    <row r="792">
      <c r="C792" s="3"/>
      <c r="D792" s="3"/>
      <c r="E792" s="3"/>
      <c r="G792" s="3"/>
    </row>
    <row r="793">
      <c r="C793" s="3"/>
      <c r="D793" s="3"/>
      <c r="E793" s="3"/>
      <c r="G793" s="3"/>
    </row>
    <row r="794">
      <c r="C794" s="3"/>
      <c r="D794" s="3"/>
      <c r="E794" s="3"/>
      <c r="G794" s="3"/>
    </row>
    <row r="795">
      <c r="C795" s="3"/>
      <c r="D795" s="3"/>
      <c r="E795" s="3"/>
      <c r="G795" s="3"/>
    </row>
    <row r="796">
      <c r="C796" s="3"/>
      <c r="D796" s="3"/>
      <c r="E796" s="3"/>
      <c r="G796" s="3"/>
    </row>
    <row r="797">
      <c r="C797" s="3"/>
      <c r="D797" s="3"/>
      <c r="E797" s="3"/>
      <c r="G797" s="3"/>
    </row>
    <row r="798">
      <c r="C798" s="3"/>
      <c r="D798" s="3"/>
      <c r="E798" s="3"/>
      <c r="G798" s="3"/>
    </row>
    <row r="799">
      <c r="C799" s="3"/>
      <c r="D799" s="3"/>
      <c r="E799" s="3"/>
      <c r="G799" s="3"/>
    </row>
    <row r="800">
      <c r="C800" s="3"/>
      <c r="D800" s="3"/>
      <c r="E800" s="3"/>
      <c r="G800" s="3"/>
    </row>
    <row r="801">
      <c r="C801" s="3"/>
      <c r="D801" s="3"/>
      <c r="E801" s="3"/>
      <c r="G801" s="3"/>
    </row>
    <row r="802">
      <c r="C802" s="3"/>
      <c r="D802" s="3"/>
      <c r="E802" s="3"/>
      <c r="G802" s="3"/>
    </row>
    <row r="803">
      <c r="C803" s="3"/>
      <c r="D803" s="3"/>
      <c r="E803" s="3"/>
      <c r="G803" s="3"/>
    </row>
    <row r="804">
      <c r="C804" s="3"/>
      <c r="D804" s="3"/>
      <c r="E804" s="3"/>
      <c r="G804" s="3"/>
    </row>
    <row r="805">
      <c r="C805" s="3"/>
      <c r="D805" s="3"/>
      <c r="E805" s="3"/>
      <c r="G805" s="3"/>
    </row>
    <row r="806">
      <c r="C806" s="3"/>
      <c r="D806" s="3"/>
      <c r="E806" s="3"/>
      <c r="G806" s="3"/>
    </row>
    <row r="807">
      <c r="C807" s="3"/>
      <c r="D807" s="3"/>
      <c r="E807" s="3"/>
      <c r="G807" s="3"/>
    </row>
    <row r="808">
      <c r="C808" s="3"/>
      <c r="D808" s="3"/>
      <c r="E808" s="3"/>
      <c r="G808" s="3"/>
    </row>
    <row r="809">
      <c r="C809" s="3"/>
      <c r="D809" s="3"/>
      <c r="E809" s="3"/>
      <c r="G809" s="3"/>
    </row>
    <row r="810">
      <c r="C810" s="3"/>
      <c r="D810" s="3"/>
      <c r="E810" s="3"/>
      <c r="G810" s="3"/>
    </row>
    <row r="811">
      <c r="C811" s="3"/>
      <c r="D811" s="3"/>
      <c r="E811" s="3"/>
      <c r="G811" s="3"/>
    </row>
    <row r="812">
      <c r="C812" s="3"/>
      <c r="D812" s="3"/>
      <c r="E812" s="3"/>
      <c r="G812" s="3"/>
    </row>
    <row r="813">
      <c r="C813" s="3"/>
      <c r="D813" s="3"/>
      <c r="E813" s="3"/>
      <c r="G813" s="3"/>
    </row>
    <row r="814">
      <c r="C814" s="3"/>
      <c r="D814" s="3"/>
      <c r="E814" s="3"/>
      <c r="G814" s="3"/>
    </row>
    <row r="815">
      <c r="C815" s="3"/>
      <c r="D815" s="3"/>
      <c r="E815" s="3"/>
      <c r="G815" s="3"/>
    </row>
    <row r="816">
      <c r="C816" s="3"/>
      <c r="D816" s="3"/>
      <c r="E816" s="3"/>
      <c r="G816" s="3"/>
    </row>
    <row r="817">
      <c r="C817" s="3"/>
      <c r="D817" s="3"/>
      <c r="E817" s="3"/>
      <c r="G817" s="3"/>
    </row>
    <row r="818">
      <c r="C818" s="3"/>
      <c r="D818" s="3"/>
      <c r="E818" s="3"/>
      <c r="G818" s="3"/>
    </row>
    <row r="819">
      <c r="C819" s="3"/>
      <c r="D819" s="3"/>
      <c r="E819" s="3"/>
      <c r="G819" s="3"/>
    </row>
    <row r="820">
      <c r="C820" s="3"/>
      <c r="D820" s="3"/>
      <c r="E820" s="3"/>
      <c r="G820" s="3"/>
    </row>
    <row r="821">
      <c r="C821" s="3"/>
      <c r="D821" s="3"/>
      <c r="E821" s="3"/>
      <c r="G821" s="3"/>
    </row>
    <row r="822">
      <c r="C822" s="3"/>
      <c r="D822" s="3"/>
      <c r="E822" s="3"/>
      <c r="G822" s="3"/>
    </row>
    <row r="823">
      <c r="C823" s="3"/>
      <c r="D823" s="3"/>
      <c r="E823" s="3"/>
      <c r="G823" s="3"/>
    </row>
    <row r="824">
      <c r="C824" s="3"/>
      <c r="D824" s="3"/>
      <c r="E824" s="3"/>
      <c r="G824" s="3"/>
    </row>
    <row r="825">
      <c r="C825" s="3"/>
      <c r="D825" s="3"/>
      <c r="E825" s="3"/>
      <c r="G825" s="3"/>
    </row>
    <row r="826">
      <c r="C826" s="3"/>
      <c r="D826" s="3"/>
      <c r="E826" s="3"/>
      <c r="G826" s="3"/>
    </row>
    <row r="827">
      <c r="C827" s="3"/>
      <c r="D827" s="3"/>
      <c r="E827" s="3"/>
      <c r="G827" s="3"/>
    </row>
    <row r="828">
      <c r="C828" s="3"/>
      <c r="D828" s="3"/>
      <c r="E828" s="3"/>
      <c r="G828" s="3"/>
    </row>
    <row r="829">
      <c r="C829" s="3"/>
      <c r="D829" s="3"/>
      <c r="E829" s="3"/>
      <c r="G829" s="3"/>
    </row>
    <row r="830">
      <c r="C830" s="3"/>
      <c r="D830" s="3"/>
      <c r="E830" s="3"/>
      <c r="G830" s="3"/>
    </row>
    <row r="831">
      <c r="C831" s="3"/>
      <c r="D831" s="3"/>
      <c r="E831" s="3"/>
      <c r="G831" s="3"/>
    </row>
    <row r="832">
      <c r="C832" s="3"/>
      <c r="D832" s="3"/>
      <c r="E832" s="3"/>
      <c r="G832" s="3"/>
    </row>
    <row r="833">
      <c r="C833" s="3"/>
      <c r="D833" s="3"/>
      <c r="E833" s="3"/>
      <c r="G833" s="3"/>
    </row>
    <row r="834">
      <c r="C834" s="3"/>
      <c r="D834" s="3"/>
      <c r="E834" s="3"/>
      <c r="G834" s="3"/>
    </row>
    <row r="835">
      <c r="C835" s="3"/>
      <c r="D835" s="3"/>
      <c r="E835" s="3"/>
      <c r="G835" s="3"/>
    </row>
    <row r="836">
      <c r="C836" s="3"/>
      <c r="D836" s="3"/>
      <c r="E836" s="3"/>
      <c r="G836" s="3"/>
    </row>
    <row r="837">
      <c r="C837" s="3"/>
      <c r="D837" s="3"/>
      <c r="E837" s="3"/>
      <c r="G837" s="3"/>
    </row>
    <row r="838">
      <c r="C838" s="3"/>
      <c r="D838" s="3"/>
      <c r="E838" s="3"/>
      <c r="G838" s="3"/>
    </row>
    <row r="839">
      <c r="C839" s="3"/>
      <c r="D839" s="3"/>
      <c r="E839" s="3"/>
      <c r="G839" s="3"/>
    </row>
    <row r="840">
      <c r="C840" s="3"/>
      <c r="D840" s="3"/>
      <c r="E840" s="3"/>
      <c r="G840" s="3"/>
    </row>
    <row r="841">
      <c r="C841" s="3"/>
      <c r="D841" s="3"/>
      <c r="E841" s="3"/>
      <c r="G841" s="3"/>
    </row>
    <row r="842">
      <c r="C842" s="3"/>
      <c r="D842" s="3"/>
      <c r="E842" s="3"/>
      <c r="G842" s="3"/>
    </row>
    <row r="843">
      <c r="C843" s="3"/>
      <c r="D843" s="3"/>
      <c r="E843" s="3"/>
      <c r="G843" s="3"/>
    </row>
    <row r="844">
      <c r="C844" s="3"/>
      <c r="D844" s="3"/>
      <c r="E844" s="3"/>
      <c r="G844" s="3"/>
    </row>
    <row r="845">
      <c r="C845" s="3"/>
      <c r="D845" s="3"/>
      <c r="E845" s="3"/>
      <c r="G845" s="3"/>
    </row>
    <row r="846">
      <c r="C846" s="3"/>
      <c r="D846" s="3"/>
      <c r="E846" s="3"/>
      <c r="G846" s="3"/>
    </row>
    <row r="847">
      <c r="C847" s="3"/>
      <c r="D847" s="3"/>
      <c r="E847" s="3"/>
      <c r="G847" s="3"/>
    </row>
    <row r="848">
      <c r="C848" s="3"/>
      <c r="D848" s="3"/>
      <c r="E848" s="3"/>
      <c r="G848" s="3"/>
    </row>
    <row r="849">
      <c r="C849" s="3"/>
      <c r="D849" s="3"/>
      <c r="E849" s="3"/>
      <c r="G849" s="3"/>
    </row>
    <row r="850">
      <c r="C850" s="3"/>
      <c r="D850" s="3"/>
      <c r="E850" s="3"/>
      <c r="G850" s="3"/>
    </row>
    <row r="851">
      <c r="C851" s="3"/>
      <c r="D851" s="3"/>
      <c r="E851" s="3"/>
      <c r="G851" s="3"/>
    </row>
    <row r="852">
      <c r="C852" s="3"/>
      <c r="D852" s="3"/>
      <c r="E852" s="3"/>
      <c r="G852" s="3"/>
    </row>
    <row r="853">
      <c r="C853" s="3"/>
      <c r="D853" s="3"/>
      <c r="E853" s="3"/>
      <c r="G853" s="3"/>
    </row>
    <row r="854">
      <c r="C854" s="3"/>
      <c r="D854" s="3"/>
      <c r="E854" s="3"/>
      <c r="G854" s="3"/>
    </row>
    <row r="855">
      <c r="C855" s="3"/>
      <c r="D855" s="3"/>
      <c r="E855" s="3"/>
      <c r="G855" s="3"/>
    </row>
    <row r="856">
      <c r="C856" s="3"/>
      <c r="D856" s="3"/>
      <c r="E856" s="3"/>
      <c r="G856" s="3"/>
    </row>
    <row r="857">
      <c r="C857" s="3"/>
      <c r="D857" s="3"/>
      <c r="E857" s="3"/>
      <c r="G857" s="3"/>
    </row>
    <row r="858">
      <c r="C858" s="3"/>
      <c r="D858" s="3"/>
      <c r="E858" s="3"/>
      <c r="G858" s="3"/>
    </row>
    <row r="859">
      <c r="C859" s="3"/>
      <c r="D859" s="3"/>
      <c r="E859" s="3"/>
      <c r="G859" s="3"/>
    </row>
    <row r="860">
      <c r="C860" s="3"/>
      <c r="D860" s="3"/>
      <c r="E860" s="3"/>
      <c r="G860" s="3"/>
    </row>
    <row r="861">
      <c r="C861" s="3"/>
      <c r="D861" s="3"/>
      <c r="E861" s="3"/>
      <c r="G861" s="3"/>
    </row>
    <row r="862">
      <c r="C862" s="3"/>
      <c r="D862" s="3"/>
      <c r="E862" s="3"/>
      <c r="G862" s="3"/>
    </row>
    <row r="863">
      <c r="C863" s="3"/>
      <c r="D863" s="3"/>
      <c r="E863" s="3"/>
      <c r="G863" s="3"/>
    </row>
    <row r="864">
      <c r="C864" s="3"/>
      <c r="D864" s="3"/>
      <c r="E864" s="3"/>
      <c r="G864" s="3"/>
    </row>
    <row r="865">
      <c r="C865" s="3"/>
      <c r="D865" s="3"/>
      <c r="E865" s="3"/>
      <c r="G865" s="3"/>
    </row>
    <row r="866">
      <c r="C866" s="3"/>
      <c r="D866" s="3"/>
      <c r="E866" s="3"/>
      <c r="G866" s="3"/>
    </row>
    <row r="867">
      <c r="C867" s="3"/>
      <c r="D867" s="3"/>
      <c r="E867" s="3"/>
      <c r="G867" s="3"/>
    </row>
    <row r="868">
      <c r="C868" s="3"/>
      <c r="D868" s="3"/>
      <c r="E868" s="3"/>
      <c r="G868" s="3"/>
    </row>
    <row r="869">
      <c r="C869" s="3"/>
      <c r="D869" s="3"/>
      <c r="E869" s="3"/>
      <c r="G869" s="3"/>
    </row>
    <row r="870">
      <c r="C870" s="3"/>
      <c r="D870" s="3"/>
      <c r="E870" s="3"/>
      <c r="G870" s="3"/>
    </row>
    <row r="871">
      <c r="C871" s="3"/>
      <c r="D871" s="3"/>
      <c r="E871" s="3"/>
      <c r="G871" s="3"/>
    </row>
    <row r="872">
      <c r="C872" s="3"/>
      <c r="D872" s="3"/>
      <c r="E872" s="3"/>
      <c r="G872" s="3"/>
    </row>
    <row r="873">
      <c r="C873" s="3"/>
      <c r="D873" s="3"/>
      <c r="E873" s="3"/>
      <c r="G873" s="3"/>
    </row>
    <row r="874">
      <c r="C874" s="3"/>
      <c r="D874" s="3"/>
      <c r="E874" s="3"/>
      <c r="G874" s="3"/>
    </row>
    <row r="875">
      <c r="C875" s="3"/>
      <c r="D875" s="3"/>
      <c r="E875" s="3"/>
      <c r="G875" s="3"/>
    </row>
    <row r="876">
      <c r="C876" s="3"/>
      <c r="D876" s="3"/>
      <c r="E876" s="3"/>
      <c r="G876" s="3"/>
    </row>
    <row r="877">
      <c r="C877" s="3"/>
      <c r="D877" s="3"/>
      <c r="E877" s="3"/>
      <c r="G877" s="3"/>
    </row>
    <row r="878">
      <c r="C878" s="3"/>
      <c r="D878" s="3"/>
      <c r="E878" s="3"/>
      <c r="G878" s="3"/>
    </row>
    <row r="879">
      <c r="C879" s="3"/>
      <c r="D879" s="3"/>
      <c r="E879" s="3"/>
      <c r="G879" s="3"/>
    </row>
    <row r="880">
      <c r="C880" s="3"/>
      <c r="D880" s="3"/>
      <c r="E880" s="3"/>
      <c r="G880" s="3"/>
    </row>
    <row r="881">
      <c r="C881" s="3"/>
      <c r="D881" s="3"/>
      <c r="E881" s="3"/>
      <c r="G881" s="3"/>
    </row>
    <row r="882">
      <c r="C882" s="3"/>
      <c r="D882" s="3"/>
      <c r="E882" s="3"/>
      <c r="G882" s="3"/>
    </row>
    <row r="883">
      <c r="C883" s="3"/>
      <c r="D883" s="3"/>
      <c r="E883" s="3"/>
      <c r="G883" s="3"/>
    </row>
    <row r="884">
      <c r="C884" s="3"/>
      <c r="D884" s="3"/>
      <c r="E884" s="3"/>
      <c r="G884" s="3"/>
    </row>
    <row r="885">
      <c r="C885" s="3"/>
      <c r="D885" s="3"/>
      <c r="E885" s="3"/>
      <c r="G885" s="3"/>
    </row>
    <row r="886">
      <c r="C886" s="3"/>
      <c r="D886" s="3"/>
      <c r="E886" s="3"/>
      <c r="G886" s="3"/>
    </row>
    <row r="887">
      <c r="C887" s="3"/>
      <c r="D887" s="3"/>
      <c r="E887" s="3"/>
      <c r="G887" s="3"/>
    </row>
    <row r="888">
      <c r="C888" s="3"/>
      <c r="D888" s="3"/>
      <c r="E888" s="3"/>
      <c r="G888" s="3"/>
    </row>
    <row r="889">
      <c r="C889" s="3"/>
      <c r="D889" s="3"/>
      <c r="E889" s="3"/>
      <c r="G889" s="3"/>
    </row>
    <row r="890">
      <c r="C890" s="3"/>
      <c r="D890" s="3"/>
      <c r="E890" s="3"/>
      <c r="G890" s="3"/>
    </row>
    <row r="891">
      <c r="C891" s="3"/>
      <c r="D891" s="3"/>
      <c r="E891" s="3"/>
      <c r="G891" s="3"/>
    </row>
    <row r="892">
      <c r="C892" s="3"/>
      <c r="D892" s="3"/>
      <c r="E892" s="3"/>
      <c r="G892" s="3"/>
    </row>
    <row r="893">
      <c r="C893" s="3"/>
      <c r="D893" s="3"/>
      <c r="E893" s="3"/>
      <c r="G893" s="3"/>
    </row>
    <row r="894">
      <c r="C894" s="3"/>
      <c r="D894" s="3"/>
      <c r="E894" s="3"/>
      <c r="G894" s="3"/>
    </row>
    <row r="895">
      <c r="C895" s="3"/>
      <c r="D895" s="3"/>
      <c r="E895" s="3"/>
      <c r="G895" s="3"/>
    </row>
    <row r="896">
      <c r="C896" s="3"/>
      <c r="D896" s="3"/>
      <c r="E896" s="3"/>
      <c r="G896" s="3"/>
    </row>
    <row r="897">
      <c r="C897" s="3"/>
      <c r="D897" s="3"/>
      <c r="E897" s="3"/>
      <c r="G897" s="3"/>
    </row>
    <row r="898">
      <c r="C898" s="3"/>
      <c r="D898" s="3"/>
      <c r="E898" s="3"/>
      <c r="G898" s="3"/>
    </row>
    <row r="899">
      <c r="C899" s="3"/>
      <c r="D899" s="3"/>
      <c r="E899" s="3"/>
      <c r="G899" s="3"/>
    </row>
    <row r="900">
      <c r="C900" s="3"/>
      <c r="D900" s="3"/>
      <c r="E900" s="3"/>
      <c r="G900" s="3"/>
    </row>
    <row r="901">
      <c r="C901" s="3"/>
      <c r="D901" s="3"/>
      <c r="E901" s="3"/>
      <c r="G901" s="3"/>
    </row>
    <row r="902">
      <c r="C902" s="3"/>
      <c r="D902" s="3"/>
      <c r="E902" s="3"/>
      <c r="G902" s="3"/>
    </row>
    <row r="903">
      <c r="C903" s="3"/>
      <c r="D903" s="3"/>
      <c r="E903" s="3"/>
      <c r="G903" s="3"/>
    </row>
    <row r="904">
      <c r="C904" s="3"/>
      <c r="D904" s="3"/>
      <c r="E904" s="3"/>
      <c r="G904" s="3"/>
    </row>
    <row r="905">
      <c r="C905" s="3"/>
      <c r="D905" s="3"/>
      <c r="E905" s="3"/>
      <c r="G905" s="3"/>
    </row>
    <row r="906">
      <c r="C906" s="3"/>
      <c r="D906" s="3"/>
      <c r="E906" s="3"/>
      <c r="G906" s="3"/>
    </row>
    <row r="907">
      <c r="C907" s="3"/>
      <c r="D907" s="3"/>
      <c r="E907" s="3"/>
      <c r="G907" s="3"/>
    </row>
    <row r="908">
      <c r="C908" s="3"/>
      <c r="D908" s="3"/>
      <c r="E908" s="3"/>
      <c r="G908" s="3"/>
    </row>
    <row r="909">
      <c r="C909" s="3"/>
      <c r="D909" s="3"/>
      <c r="E909" s="3"/>
      <c r="G909" s="3"/>
    </row>
    <row r="910">
      <c r="C910" s="3"/>
      <c r="D910" s="3"/>
      <c r="E910" s="3"/>
      <c r="G910" s="3"/>
    </row>
    <row r="911">
      <c r="C911" s="3"/>
      <c r="D911" s="3"/>
      <c r="E911" s="3"/>
      <c r="G911" s="3"/>
    </row>
    <row r="912">
      <c r="C912" s="3"/>
      <c r="D912" s="3"/>
      <c r="E912" s="3"/>
      <c r="G912" s="3"/>
    </row>
    <row r="913">
      <c r="C913" s="3"/>
      <c r="D913" s="3"/>
      <c r="E913" s="3"/>
      <c r="G913" s="3"/>
    </row>
    <row r="914">
      <c r="C914" s="3"/>
      <c r="D914" s="3"/>
      <c r="E914" s="3"/>
      <c r="G914" s="3"/>
    </row>
    <row r="915">
      <c r="C915" s="3"/>
      <c r="D915" s="3"/>
      <c r="E915" s="3"/>
      <c r="G915" s="3"/>
    </row>
    <row r="916">
      <c r="C916" s="3"/>
      <c r="D916" s="3"/>
      <c r="E916" s="3"/>
      <c r="G916" s="3"/>
    </row>
    <row r="917">
      <c r="C917" s="3"/>
      <c r="D917" s="3"/>
      <c r="E917" s="3"/>
      <c r="G917" s="3"/>
    </row>
    <row r="918">
      <c r="C918" s="3"/>
      <c r="D918" s="3"/>
      <c r="E918" s="3"/>
      <c r="G918" s="3"/>
    </row>
    <row r="919">
      <c r="C919" s="3"/>
      <c r="D919" s="3"/>
      <c r="E919" s="3"/>
      <c r="G919" s="3"/>
    </row>
    <row r="920">
      <c r="C920" s="3"/>
      <c r="D920" s="3"/>
      <c r="E920" s="3"/>
      <c r="G920" s="3"/>
    </row>
    <row r="921">
      <c r="C921" s="3"/>
      <c r="D921" s="3"/>
      <c r="E921" s="3"/>
      <c r="G921" s="3"/>
    </row>
    <row r="922">
      <c r="C922" s="3"/>
      <c r="D922" s="3"/>
      <c r="E922" s="3"/>
      <c r="G922" s="3"/>
    </row>
    <row r="923">
      <c r="C923" s="3"/>
      <c r="D923" s="3"/>
      <c r="E923" s="3"/>
      <c r="G923" s="3"/>
    </row>
    <row r="924">
      <c r="C924" s="3"/>
      <c r="D924" s="3"/>
      <c r="E924" s="3"/>
      <c r="G924" s="3"/>
    </row>
    <row r="925">
      <c r="C925" s="3"/>
      <c r="D925" s="3"/>
      <c r="E925" s="3"/>
      <c r="G925" s="3"/>
    </row>
    <row r="926">
      <c r="C926" s="3"/>
      <c r="D926" s="3"/>
      <c r="E926" s="3"/>
      <c r="G926" s="3"/>
    </row>
    <row r="927">
      <c r="C927" s="3"/>
      <c r="D927" s="3"/>
      <c r="E927" s="3"/>
      <c r="G927" s="3"/>
    </row>
    <row r="928">
      <c r="C928" s="3"/>
      <c r="D928" s="3"/>
      <c r="E928" s="3"/>
      <c r="G928" s="3"/>
    </row>
    <row r="929">
      <c r="C929" s="3"/>
      <c r="D929" s="3"/>
      <c r="E929" s="3"/>
      <c r="G929" s="3"/>
    </row>
    <row r="930">
      <c r="C930" s="3"/>
      <c r="D930" s="3"/>
      <c r="E930" s="3"/>
      <c r="G930" s="3"/>
    </row>
    <row r="931">
      <c r="C931" s="3"/>
      <c r="D931" s="3"/>
      <c r="E931" s="3"/>
      <c r="G931" s="3"/>
    </row>
    <row r="932">
      <c r="C932" s="3"/>
      <c r="D932" s="3"/>
      <c r="E932" s="3"/>
      <c r="G932" s="3"/>
    </row>
    <row r="933">
      <c r="C933" s="3"/>
      <c r="D933" s="3"/>
      <c r="E933" s="3"/>
      <c r="G933" s="3"/>
    </row>
    <row r="934">
      <c r="C934" s="3"/>
      <c r="D934" s="3"/>
      <c r="E934" s="3"/>
      <c r="G934" s="3"/>
    </row>
    <row r="935">
      <c r="C935" s="3"/>
      <c r="D935" s="3"/>
      <c r="E935" s="3"/>
      <c r="G935" s="3"/>
    </row>
    <row r="936">
      <c r="C936" s="3"/>
      <c r="D936" s="3"/>
      <c r="E936" s="3"/>
      <c r="G936" s="3"/>
    </row>
    <row r="937">
      <c r="C937" s="3"/>
      <c r="D937" s="3"/>
      <c r="E937" s="3"/>
      <c r="G937" s="3"/>
    </row>
    <row r="938">
      <c r="C938" s="3"/>
      <c r="D938" s="3"/>
      <c r="E938" s="3"/>
      <c r="G938" s="3"/>
    </row>
    <row r="939">
      <c r="C939" s="3"/>
      <c r="D939" s="3"/>
      <c r="E939" s="3"/>
      <c r="G939" s="3"/>
    </row>
    <row r="940">
      <c r="C940" s="3"/>
      <c r="D940" s="3"/>
      <c r="E940" s="3"/>
      <c r="G940" s="3"/>
    </row>
    <row r="941">
      <c r="C941" s="3"/>
      <c r="D941" s="3"/>
      <c r="E941" s="3"/>
      <c r="G941" s="3"/>
    </row>
    <row r="942">
      <c r="C942" s="3"/>
      <c r="D942" s="3"/>
      <c r="E942" s="3"/>
      <c r="G942" s="3"/>
    </row>
    <row r="943">
      <c r="C943" s="3"/>
      <c r="D943" s="3"/>
      <c r="E943" s="3"/>
      <c r="G943" s="3"/>
    </row>
    <row r="944">
      <c r="C944" s="3"/>
      <c r="D944" s="3"/>
      <c r="E944" s="3"/>
      <c r="G944" s="3"/>
    </row>
    <row r="945">
      <c r="C945" s="3"/>
      <c r="D945" s="3"/>
      <c r="E945" s="3"/>
      <c r="G945" s="3"/>
    </row>
    <row r="946">
      <c r="C946" s="3"/>
      <c r="D946" s="3"/>
      <c r="E946" s="3"/>
      <c r="G946" s="3"/>
    </row>
    <row r="947">
      <c r="C947" s="3"/>
      <c r="D947" s="3"/>
      <c r="E947" s="3"/>
      <c r="G947" s="3"/>
    </row>
    <row r="948">
      <c r="C948" s="3"/>
      <c r="D948" s="3"/>
      <c r="E948" s="3"/>
      <c r="G948" s="3"/>
    </row>
    <row r="949">
      <c r="C949" s="3"/>
      <c r="D949" s="3"/>
      <c r="E949" s="3"/>
      <c r="G949" s="3"/>
    </row>
    <row r="950">
      <c r="C950" s="3"/>
      <c r="D950" s="3"/>
      <c r="E950" s="3"/>
      <c r="G950" s="3"/>
    </row>
    <row r="951">
      <c r="C951" s="3"/>
      <c r="D951" s="3"/>
      <c r="E951" s="3"/>
      <c r="G951" s="3"/>
    </row>
    <row r="952">
      <c r="C952" s="3"/>
      <c r="D952" s="3"/>
      <c r="E952" s="3"/>
      <c r="G952" s="3"/>
    </row>
    <row r="953">
      <c r="C953" s="3"/>
      <c r="D953" s="3"/>
      <c r="E953" s="3"/>
      <c r="G953" s="3"/>
    </row>
    <row r="954">
      <c r="C954" s="3"/>
      <c r="D954" s="3"/>
      <c r="E954" s="3"/>
      <c r="G954" s="3"/>
    </row>
    <row r="955">
      <c r="C955" s="3"/>
      <c r="D955" s="3"/>
      <c r="E955" s="3"/>
      <c r="G955" s="3"/>
    </row>
    <row r="956">
      <c r="C956" s="3"/>
      <c r="D956" s="3"/>
      <c r="E956" s="3"/>
      <c r="G956" s="3"/>
    </row>
    <row r="957">
      <c r="C957" s="3"/>
      <c r="D957" s="3"/>
      <c r="E957" s="3"/>
      <c r="G957" s="3"/>
    </row>
    <row r="958">
      <c r="C958" s="3"/>
      <c r="D958" s="3"/>
      <c r="E958" s="3"/>
      <c r="G958" s="3"/>
    </row>
    <row r="959">
      <c r="C959" s="3"/>
      <c r="D959" s="3"/>
      <c r="E959" s="3"/>
      <c r="G959" s="3"/>
    </row>
    <row r="960">
      <c r="C960" s="3"/>
      <c r="D960" s="3"/>
      <c r="E960" s="3"/>
      <c r="G960" s="3"/>
    </row>
    <row r="961">
      <c r="C961" s="3"/>
      <c r="D961" s="3"/>
      <c r="E961" s="3"/>
      <c r="G961" s="3"/>
    </row>
    <row r="962">
      <c r="C962" s="3"/>
      <c r="D962" s="3"/>
      <c r="E962" s="3"/>
      <c r="G962" s="3"/>
    </row>
    <row r="963">
      <c r="C963" s="3"/>
      <c r="D963" s="3"/>
      <c r="E963" s="3"/>
      <c r="G963" s="3"/>
    </row>
    <row r="964">
      <c r="C964" s="3"/>
      <c r="D964" s="3"/>
      <c r="E964" s="3"/>
      <c r="G964" s="3"/>
    </row>
    <row r="965">
      <c r="C965" s="3"/>
      <c r="D965" s="3"/>
      <c r="E965" s="3"/>
      <c r="G965" s="3"/>
    </row>
    <row r="966">
      <c r="C966" s="3"/>
      <c r="D966" s="3"/>
      <c r="E966" s="3"/>
      <c r="G966" s="3"/>
    </row>
    <row r="967">
      <c r="C967" s="3"/>
      <c r="D967" s="3"/>
      <c r="E967" s="3"/>
      <c r="G967" s="3"/>
    </row>
    <row r="968">
      <c r="C968" s="3"/>
      <c r="D968" s="3"/>
      <c r="E968" s="3"/>
      <c r="G968" s="3"/>
    </row>
    <row r="969">
      <c r="C969" s="3"/>
      <c r="D969" s="3"/>
      <c r="E969" s="3"/>
      <c r="G969" s="3"/>
    </row>
    <row r="970">
      <c r="C970" s="3"/>
      <c r="D970" s="3"/>
      <c r="E970" s="3"/>
      <c r="G970" s="3"/>
    </row>
    <row r="971">
      <c r="C971" s="3"/>
      <c r="D971" s="3"/>
      <c r="E971" s="3"/>
      <c r="G971" s="3"/>
    </row>
    <row r="972">
      <c r="C972" s="3"/>
      <c r="D972" s="3"/>
      <c r="E972" s="3"/>
      <c r="G972" s="3"/>
    </row>
    <row r="973">
      <c r="C973" s="3"/>
      <c r="D973" s="3"/>
      <c r="E973" s="3"/>
      <c r="G973" s="3"/>
    </row>
    <row r="974">
      <c r="C974" s="3"/>
      <c r="D974" s="3"/>
      <c r="E974" s="3"/>
      <c r="G974" s="3"/>
    </row>
    <row r="975">
      <c r="C975" s="3"/>
      <c r="D975" s="3"/>
      <c r="E975" s="3"/>
      <c r="G975" s="3"/>
    </row>
    <row r="976">
      <c r="C976" s="3"/>
      <c r="D976" s="3"/>
      <c r="E976" s="3"/>
      <c r="G976" s="3"/>
    </row>
    <row r="977">
      <c r="C977" s="3"/>
      <c r="D977" s="3"/>
      <c r="E977" s="3"/>
      <c r="G977" s="3"/>
    </row>
    <row r="978">
      <c r="C978" s="3"/>
      <c r="D978" s="3"/>
      <c r="E978" s="3"/>
      <c r="G978" s="3"/>
    </row>
    <row r="979">
      <c r="C979" s="3"/>
      <c r="D979" s="3"/>
      <c r="E979" s="3"/>
      <c r="G979" s="3"/>
    </row>
    <row r="980">
      <c r="C980" s="3"/>
      <c r="D980" s="3"/>
      <c r="E980" s="3"/>
      <c r="G980" s="3"/>
    </row>
    <row r="981">
      <c r="C981" s="3"/>
      <c r="D981" s="3"/>
      <c r="E981" s="3"/>
      <c r="G981" s="3"/>
    </row>
    <row r="982">
      <c r="C982" s="3"/>
      <c r="D982" s="3"/>
      <c r="E982" s="3"/>
      <c r="G982" s="3"/>
    </row>
    <row r="983">
      <c r="C983" s="3"/>
      <c r="D983" s="3"/>
      <c r="E983" s="3"/>
      <c r="G983" s="3"/>
    </row>
    <row r="984">
      <c r="C984" s="3"/>
      <c r="D984" s="3"/>
      <c r="E984" s="3"/>
      <c r="G984" s="3"/>
    </row>
    <row r="985">
      <c r="C985" s="3"/>
      <c r="D985" s="3"/>
      <c r="E985" s="3"/>
      <c r="G985" s="3"/>
    </row>
    <row r="986">
      <c r="C986" s="3"/>
      <c r="D986" s="3"/>
      <c r="E986" s="3"/>
      <c r="G986" s="3"/>
    </row>
    <row r="987">
      <c r="C987" s="3"/>
      <c r="D987" s="3"/>
      <c r="E987" s="3"/>
      <c r="G987" s="3"/>
    </row>
    <row r="988">
      <c r="C988" s="3"/>
      <c r="D988" s="3"/>
      <c r="E988" s="3"/>
      <c r="G988" s="3"/>
    </row>
    <row r="989">
      <c r="C989" s="3"/>
      <c r="D989" s="3"/>
      <c r="E989" s="3"/>
      <c r="G989" s="3"/>
    </row>
    <row r="990">
      <c r="C990" s="3"/>
      <c r="D990" s="3"/>
      <c r="E990" s="3"/>
      <c r="G990" s="3"/>
    </row>
    <row r="991">
      <c r="C991" s="3"/>
      <c r="D991" s="3"/>
      <c r="E991" s="3"/>
      <c r="G991" s="3"/>
    </row>
    <row r="992">
      <c r="C992" s="3"/>
      <c r="D992" s="3"/>
      <c r="E992" s="3"/>
      <c r="G992" s="3"/>
    </row>
    <row r="993">
      <c r="C993" s="3"/>
      <c r="D993" s="3"/>
      <c r="E993" s="3"/>
      <c r="G993" s="3"/>
    </row>
    <row r="994">
      <c r="C994" s="3"/>
      <c r="D994" s="3"/>
      <c r="E994" s="3"/>
      <c r="G994" s="3"/>
    </row>
    <row r="995">
      <c r="C995" s="3"/>
      <c r="D995" s="3"/>
      <c r="E995" s="3"/>
      <c r="G995" s="3"/>
    </row>
    <row r="996">
      <c r="C996" s="3"/>
      <c r="D996" s="3"/>
      <c r="E996" s="3"/>
      <c r="G996" s="3"/>
    </row>
    <row r="997">
      <c r="C997" s="3"/>
      <c r="D997" s="3"/>
      <c r="E997" s="3"/>
      <c r="G997" s="3"/>
    </row>
    <row r="998">
      <c r="C998" s="3"/>
      <c r="D998" s="3"/>
      <c r="E998" s="3"/>
      <c r="G998" s="3"/>
    </row>
    <row r="999">
      <c r="C999" s="3"/>
      <c r="D999" s="3"/>
      <c r="E999" s="3"/>
      <c r="G999" s="3"/>
    </row>
    <row r="1000">
      <c r="C1000" s="3"/>
      <c r="D1000" s="3"/>
      <c r="E1000" s="3"/>
      <c r="G1000" s="3"/>
    </row>
    <row r="1001">
      <c r="C1001" s="3"/>
      <c r="D1001" s="3"/>
      <c r="E1001" s="3"/>
      <c r="G1001" s="3"/>
    </row>
    <row r="1002">
      <c r="C1002" s="3"/>
      <c r="D1002" s="3"/>
      <c r="E1002" s="3"/>
      <c r="G1002" s="3"/>
    </row>
    <row r="1003">
      <c r="C1003" s="3"/>
      <c r="D1003" s="3"/>
      <c r="E1003" s="3"/>
      <c r="G1003" s="3"/>
    </row>
    <row r="1004">
      <c r="C1004" s="3"/>
      <c r="D1004" s="3"/>
      <c r="E1004" s="3"/>
      <c r="G1004" s="3"/>
    </row>
    <row r="1005">
      <c r="C1005" s="3"/>
      <c r="D1005" s="3"/>
      <c r="E1005" s="3"/>
      <c r="G1005" s="3"/>
    </row>
    <row r="1006">
      <c r="C1006" s="3"/>
      <c r="D1006" s="3"/>
      <c r="E1006" s="3"/>
      <c r="G1006" s="3"/>
    </row>
    <row r="1007">
      <c r="C1007" s="3"/>
      <c r="D1007" s="3"/>
      <c r="E1007" s="3"/>
      <c r="G1007" s="3"/>
    </row>
    <row r="1008">
      <c r="C1008" s="3"/>
      <c r="D1008" s="3"/>
      <c r="E1008" s="3"/>
      <c r="G1008" s="3"/>
    </row>
    <row r="1009">
      <c r="C1009" s="3"/>
      <c r="D1009" s="3"/>
      <c r="E1009" s="3"/>
      <c r="G1009" s="3"/>
    </row>
    <row r="1010">
      <c r="C1010" s="3"/>
      <c r="D1010" s="3"/>
      <c r="E1010" s="3"/>
      <c r="G1010" s="3"/>
    </row>
    <row r="1011">
      <c r="C1011" s="3"/>
      <c r="D1011" s="3"/>
      <c r="E1011" s="3"/>
      <c r="G1011" s="3"/>
    </row>
    <row r="1012">
      <c r="C1012" s="3"/>
      <c r="D1012" s="3"/>
      <c r="E1012" s="3"/>
      <c r="G1012" s="3"/>
    </row>
    <row r="1013">
      <c r="C1013" s="3"/>
      <c r="D1013" s="3"/>
      <c r="E1013" s="3"/>
      <c r="G1013" s="3"/>
    </row>
    <row r="1014">
      <c r="C1014" s="3"/>
      <c r="D1014" s="3"/>
      <c r="E1014" s="3"/>
      <c r="G1014" s="3"/>
    </row>
    <row r="1015">
      <c r="C1015" s="3"/>
      <c r="D1015" s="3"/>
      <c r="E1015" s="3"/>
      <c r="G1015" s="3"/>
    </row>
    <row r="1016">
      <c r="C1016" s="3"/>
      <c r="D1016" s="3"/>
      <c r="E1016" s="3"/>
      <c r="G1016" s="3"/>
    </row>
    <row r="1017">
      <c r="C1017" s="3"/>
      <c r="D1017" s="3"/>
      <c r="E1017" s="3"/>
      <c r="G1017" s="3"/>
    </row>
    <row r="1018">
      <c r="C1018" s="3"/>
      <c r="D1018" s="3"/>
      <c r="E1018" s="3"/>
      <c r="G1018" s="3"/>
    </row>
    <row r="1019">
      <c r="C1019" s="3"/>
      <c r="D1019" s="3"/>
      <c r="E1019" s="3"/>
      <c r="G1019" s="3"/>
    </row>
    <row r="1020">
      <c r="C1020" s="3"/>
      <c r="D1020" s="3"/>
      <c r="E1020" s="3"/>
      <c r="G1020" s="3"/>
    </row>
    <row r="1021">
      <c r="C1021" s="3"/>
      <c r="D1021" s="3"/>
      <c r="E1021" s="3"/>
      <c r="G1021" s="3"/>
    </row>
    <row r="1022">
      <c r="C1022" s="3"/>
      <c r="D1022" s="3"/>
      <c r="E1022" s="3"/>
      <c r="G1022" s="3"/>
    </row>
    <row r="1023">
      <c r="C1023" s="3"/>
      <c r="D1023" s="3"/>
      <c r="E1023" s="3"/>
      <c r="G1023" s="3"/>
    </row>
    <row r="1024">
      <c r="C1024" s="3"/>
      <c r="D1024" s="3"/>
      <c r="E1024" s="3"/>
      <c r="G1024" s="3"/>
    </row>
    <row r="1025">
      <c r="C1025" s="3"/>
      <c r="D1025" s="3"/>
      <c r="E1025" s="3"/>
      <c r="G1025" s="3"/>
    </row>
    <row r="1026">
      <c r="C1026" s="3"/>
      <c r="D1026" s="3"/>
      <c r="E1026" s="3"/>
      <c r="G1026" s="3"/>
    </row>
    <row r="1027">
      <c r="C1027" s="3"/>
      <c r="D1027" s="3"/>
      <c r="E1027" s="3"/>
      <c r="G1027" s="3"/>
    </row>
    <row r="1028">
      <c r="C1028" s="3"/>
      <c r="D1028" s="3"/>
      <c r="E1028" s="3"/>
      <c r="G1028" s="3"/>
    </row>
    <row r="1029">
      <c r="C1029" s="3"/>
      <c r="D1029" s="3"/>
      <c r="E1029" s="3"/>
      <c r="G1029" s="3"/>
    </row>
    <row r="1030">
      <c r="C1030" s="3"/>
      <c r="D1030" s="3"/>
      <c r="E1030" s="3"/>
      <c r="G1030" s="3"/>
    </row>
    <row r="1031">
      <c r="C1031" s="3"/>
      <c r="D1031" s="3"/>
      <c r="E1031" s="3"/>
      <c r="G1031" s="3"/>
    </row>
    <row r="1032">
      <c r="C1032" s="3"/>
      <c r="D1032" s="3"/>
      <c r="E1032" s="3"/>
      <c r="G1032" s="3"/>
    </row>
    <row r="1033">
      <c r="C1033" s="3"/>
      <c r="D1033" s="3"/>
      <c r="E1033" s="3"/>
      <c r="G1033" s="3"/>
    </row>
    <row r="1034">
      <c r="C1034" s="3"/>
      <c r="D1034" s="3"/>
      <c r="E1034" s="3"/>
      <c r="G1034" s="3"/>
    </row>
    <row r="1035">
      <c r="C1035" s="3"/>
      <c r="D1035" s="3"/>
      <c r="E1035" s="3"/>
      <c r="G1035" s="3"/>
    </row>
    <row r="1036">
      <c r="C1036" s="3"/>
      <c r="D1036" s="3"/>
      <c r="E1036" s="3"/>
      <c r="G1036" s="3"/>
    </row>
    <row r="1037">
      <c r="C1037" s="3"/>
      <c r="D1037" s="3"/>
      <c r="E1037" s="3"/>
      <c r="G1037" s="3"/>
    </row>
    <row r="1038">
      <c r="C1038" s="3"/>
      <c r="D1038" s="3"/>
      <c r="E1038" s="3"/>
      <c r="G1038" s="3"/>
    </row>
    <row r="1039">
      <c r="C1039" s="3"/>
      <c r="D1039" s="3"/>
      <c r="E1039" s="3"/>
      <c r="G1039" s="3"/>
    </row>
    <row r="1040">
      <c r="C1040" s="3"/>
      <c r="D1040" s="3"/>
      <c r="E1040" s="3"/>
      <c r="G1040" s="3"/>
    </row>
    <row r="1041">
      <c r="C1041" s="3"/>
      <c r="D1041" s="3"/>
      <c r="E1041" s="3"/>
      <c r="G1041" s="3"/>
    </row>
    <row r="1042">
      <c r="C1042" s="3"/>
      <c r="D1042" s="3"/>
      <c r="E1042" s="3"/>
      <c r="G1042" s="3"/>
    </row>
    <row r="1043">
      <c r="C1043" s="3"/>
      <c r="D1043" s="3"/>
      <c r="E1043" s="3"/>
      <c r="G1043" s="3"/>
    </row>
    <row r="1044">
      <c r="C1044" s="3"/>
      <c r="D1044" s="3"/>
      <c r="E1044" s="3"/>
      <c r="G1044" s="3"/>
    </row>
    <row r="1045">
      <c r="C1045" s="3"/>
      <c r="D1045" s="3"/>
      <c r="E1045" s="3"/>
      <c r="G1045" s="3"/>
    </row>
    <row r="1046">
      <c r="C1046" s="3"/>
      <c r="D1046" s="3"/>
      <c r="E1046" s="3"/>
      <c r="G1046" s="3"/>
    </row>
    <row r="1047">
      <c r="C1047" s="3"/>
      <c r="D1047" s="3"/>
      <c r="E1047" s="3"/>
      <c r="G1047" s="3"/>
    </row>
    <row r="1048">
      <c r="C1048" s="3"/>
      <c r="D1048" s="3"/>
      <c r="E1048" s="3"/>
      <c r="G1048" s="3"/>
    </row>
    <row r="1049">
      <c r="C1049" s="3"/>
      <c r="D1049" s="3"/>
      <c r="E1049" s="3"/>
      <c r="G1049" s="3"/>
    </row>
    <row r="1050">
      <c r="C1050" s="3"/>
      <c r="D1050" s="3"/>
      <c r="E1050" s="3"/>
      <c r="G1050" s="3"/>
    </row>
    <row r="1051">
      <c r="C1051" s="3"/>
      <c r="D1051" s="3"/>
      <c r="E1051" s="3"/>
      <c r="G1051" s="3"/>
    </row>
    <row r="1052">
      <c r="C1052" s="3"/>
      <c r="D1052" s="3"/>
      <c r="E1052" s="3"/>
      <c r="G1052" s="3"/>
    </row>
    <row r="1053">
      <c r="C1053" s="3"/>
      <c r="D1053" s="3"/>
      <c r="E1053" s="3"/>
      <c r="G1053" s="3"/>
    </row>
    <row r="1054">
      <c r="C1054" s="3"/>
      <c r="D1054" s="3"/>
      <c r="E1054" s="3"/>
      <c r="G1054" s="3"/>
    </row>
    <row r="1055">
      <c r="C1055" s="3"/>
      <c r="D1055" s="3"/>
      <c r="E1055" s="3"/>
      <c r="G1055" s="3"/>
    </row>
    <row r="1056">
      <c r="C1056" s="3"/>
      <c r="D1056" s="3"/>
      <c r="E1056" s="3"/>
      <c r="G1056" s="3"/>
    </row>
    <row r="1057">
      <c r="C1057" s="3"/>
      <c r="D1057" s="3"/>
      <c r="E1057" s="3"/>
      <c r="G1057" s="3"/>
    </row>
    <row r="1058">
      <c r="C1058" s="3"/>
      <c r="D1058" s="3"/>
      <c r="E1058" s="3"/>
      <c r="G1058" s="3"/>
    </row>
    <row r="1059">
      <c r="C1059" s="3"/>
      <c r="D1059" s="3"/>
      <c r="E1059" s="3"/>
      <c r="G1059" s="3"/>
    </row>
    <row r="1060">
      <c r="C1060" s="3"/>
      <c r="D1060" s="3"/>
      <c r="E1060" s="3"/>
      <c r="G1060" s="3"/>
    </row>
    <row r="1061">
      <c r="C1061" s="3"/>
      <c r="D1061" s="3"/>
      <c r="E1061" s="3"/>
      <c r="G1061" s="3"/>
    </row>
  </sheetData>
  <autoFilter ref="$A$1:$L$115"/>
  <conditionalFormatting sqref="F49:F115">
    <cfRule type="notContainsBlanks" dxfId="0" priority="1">
      <formula>LEN(TRIM(F49))&gt;0</formula>
    </cfRule>
  </conditionalFormatting>
  <dataValidations>
    <dataValidation type="list" allowBlank="1" showErrorMessage="1" sqref="G3:G9 G11:G21 G28:G79 G81:G115">
      <formula1>"база данных,интеграция с платежной системой,автоматические уведомления без сложной логики,AI-аналитика,администрирование,эскалация,интеграция с ТГ"</formula1>
    </dataValidation>
    <dataValidation type="list" allowBlank="1" showErrorMessage="1" sqref="F3:F9 F11:F21 F28:F48">
      <formula1>"уже умеет,не умеет,50/50"</formula1>
    </dataValidation>
    <dataValidation type="list" allowBlank="1" showErrorMessage="1" sqref="F49:F79 F81:F115">
      <formula1>"must - база ,unic - фишка ,features - масштабирование,excite - восторг,eco - экосистема,неизвестно"</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65.38"/>
    <col customWidth="1" min="3" max="3" width="23.88"/>
  </cols>
  <sheetData>
    <row r="1">
      <c r="A1" s="256" t="s">
        <v>417</v>
      </c>
      <c r="B1" s="256" t="s">
        <v>418</v>
      </c>
      <c r="C1" s="256" t="s">
        <v>419</v>
      </c>
    </row>
    <row r="2">
      <c r="A2" s="257" t="s">
        <v>420</v>
      </c>
      <c r="B2" s="257" t="s">
        <v>421</v>
      </c>
      <c r="C2" s="258">
        <v>3.0</v>
      </c>
    </row>
    <row r="3">
      <c r="A3" s="257" t="s">
        <v>422</v>
      </c>
      <c r="B3" s="257" t="s">
        <v>423</v>
      </c>
      <c r="C3" s="258">
        <v>5.0</v>
      </c>
    </row>
    <row r="4">
      <c r="A4" s="257" t="s">
        <v>424</v>
      </c>
      <c r="B4" s="257" t="s">
        <v>425</v>
      </c>
      <c r="C4" s="258">
        <v>4.0</v>
      </c>
    </row>
    <row r="5">
      <c r="A5" s="257" t="s">
        <v>426</v>
      </c>
      <c r="B5" s="257" t="s">
        <v>427</v>
      </c>
      <c r="C5" s="258">
        <v>4.0</v>
      </c>
    </row>
    <row r="6">
      <c r="A6" s="257" t="s">
        <v>428</v>
      </c>
      <c r="B6" s="257" t="s">
        <v>429</v>
      </c>
      <c r="C6" s="258">
        <v>4.0</v>
      </c>
    </row>
    <row r="7">
      <c r="A7" s="257" t="s">
        <v>430</v>
      </c>
      <c r="B7" s="257" t="s">
        <v>431</v>
      </c>
      <c r="C7" s="258">
        <v>12.0</v>
      </c>
    </row>
    <row r="8">
      <c r="A8" s="257" t="s">
        <v>432</v>
      </c>
      <c r="B8" s="257" t="s">
        <v>433</v>
      </c>
      <c r="C8" s="258">
        <v>5.0</v>
      </c>
    </row>
    <row r="9">
      <c r="A9" s="257" t="s">
        <v>434</v>
      </c>
      <c r="B9" s="257" t="s">
        <v>435</v>
      </c>
      <c r="C9" s="258">
        <v>3.0</v>
      </c>
    </row>
    <row r="10">
      <c r="A10" s="257" t="s">
        <v>436</v>
      </c>
      <c r="B10" s="257" t="s">
        <v>437</v>
      </c>
      <c r="C10" s="258">
        <v>3.0</v>
      </c>
    </row>
    <row r="11">
      <c r="A11" s="259" t="s">
        <v>438</v>
      </c>
      <c r="B11" s="259" t="s">
        <v>439</v>
      </c>
      <c r="C11" s="260">
        <v>10.0</v>
      </c>
    </row>
    <row r="12">
      <c r="A12" s="259" t="s">
        <v>440</v>
      </c>
      <c r="B12" s="259" t="s">
        <v>441</v>
      </c>
      <c r="C12" s="260">
        <v>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25"/>
    <col customWidth="1" min="6" max="6" width="10.75"/>
  </cols>
  <sheetData>
    <row r="1">
      <c r="A1" s="261" t="s">
        <v>442</v>
      </c>
      <c r="B1" s="261" t="s">
        <v>443</v>
      </c>
      <c r="C1" s="261" t="s">
        <v>444</v>
      </c>
      <c r="D1" s="262" t="s">
        <v>445</v>
      </c>
      <c r="E1" s="261" t="s">
        <v>446</v>
      </c>
      <c r="F1" s="261" t="s">
        <v>447</v>
      </c>
      <c r="G1" s="261" t="s">
        <v>448</v>
      </c>
      <c r="H1" s="263"/>
      <c r="J1" s="263"/>
      <c r="K1" s="263"/>
      <c r="L1" s="263"/>
      <c r="M1" s="263"/>
      <c r="N1" s="263"/>
      <c r="O1" s="263"/>
      <c r="P1" s="263"/>
      <c r="Q1" s="263"/>
      <c r="R1" s="263"/>
      <c r="S1" s="263"/>
      <c r="T1" s="263"/>
      <c r="U1" s="263"/>
      <c r="V1" s="263"/>
      <c r="W1" s="263"/>
      <c r="X1" s="263"/>
      <c r="Y1" s="263"/>
      <c r="Z1" s="263"/>
    </row>
    <row r="2">
      <c r="A2" s="117">
        <v>2025.0</v>
      </c>
      <c r="B2" s="117" t="s">
        <v>449</v>
      </c>
      <c r="C2" s="117">
        <v>5.0</v>
      </c>
      <c r="D2" s="264"/>
      <c r="E2" s="117">
        <v>9999.0</v>
      </c>
      <c r="F2" s="117">
        <v>257.0</v>
      </c>
      <c r="G2" s="265">
        <v>46022.0</v>
      </c>
    </row>
    <row r="3">
      <c r="A3" s="117">
        <v>2026.0</v>
      </c>
      <c r="B3" s="117" t="s">
        <v>450</v>
      </c>
      <c r="C3" s="117">
        <v>5.0</v>
      </c>
      <c r="D3" s="264"/>
      <c r="E3" s="117">
        <v>9999.0</v>
      </c>
      <c r="G3" s="265">
        <v>46387.0</v>
      </c>
    </row>
    <row r="4">
      <c r="A4" s="117" t="s">
        <v>451</v>
      </c>
      <c r="B4" s="117" t="s">
        <v>449</v>
      </c>
      <c r="C4" s="117">
        <v>50.0</v>
      </c>
      <c r="D4" s="264"/>
      <c r="E4" s="117">
        <v>1.0</v>
      </c>
      <c r="G4" s="265">
        <v>46387.0</v>
      </c>
    </row>
    <row r="5">
      <c r="A5" s="117" t="s">
        <v>452</v>
      </c>
      <c r="B5" s="117" t="s">
        <v>449</v>
      </c>
      <c r="D5" s="266">
        <v>500.0</v>
      </c>
      <c r="E5" s="117">
        <v>1.0</v>
      </c>
      <c r="G5" s="265">
        <v>46387.0</v>
      </c>
    </row>
    <row r="6">
      <c r="B6" s="117" t="s">
        <v>453</v>
      </c>
      <c r="D6" s="264"/>
    </row>
    <row r="7">
      <c r="B7" s="117" t="s">
        <v>453</v>
      </c>
      <c r="D7" s="264"/>
    </row>
    <row r="8">
      <c r="B8" s="117" t="s">
        <v>453</v>
      </c>
      <c r="D8" s="264"/>
    </row>
    <row r="9">
      <c r="B9" s="117" t="s">
        <v>453</v>
      </c>
      <c r="D9" s="264"/>
    </row>
    <row r="10">
      <c r="B10" s="117" t="s">
        <v>453</v>
      </c>
      <c r="D10" s="264"/>
    </row>
    <row r="11">
      <c r="B11" s="117" t="s">
        <v>453</v>
      </c>
      <c r="D11" s="264"/>
    </row>
    <row r="12">
      <c r="B12" s="117" t="s">
        <v>453</v>
      </c>
      <c r="D12" s="264"/>
    </row>
    <row r="13">
      <c r="B13" s="117" t="s">
        <v>453</v>
      </c>
      <c r="D13" s="264"/>
    </row>
    <row r="14">
      <c r="B14" s="117" t="s">
        <v>453</v>
      </c>
      <c r="D14" s="264"/>
    </row>
    <row r="15">
      <c r="B15" s="117" t="s">
        <v>453</v>
      </c>
      <c r="D15" s="264"/>
    </row>
    <row r="16">
      <c r="B16" s="117" t="s">
        <v>453</v>
      </c>
      <c r="D16" s="264"/>
    </row>
    <row r="17">
      <c r="B17" s="117" t="s">
        <v>453</v>
      </c>
      <c r="D17" s="264"/>
    </row>
    <row r="18">
      <c r="B18" s="117" t="s">
        <v>453</v>
      </c>
      <c r="D18" s="264"/>
    </row>
    <row r="19">
      <c r="B19" s="117" t="s">
        <v>453</v>
      </c>
      <c r="D19" s="264"/>
    </row>
    <row r="20">
      <c r="B20" s="117" t="s">
        <v>453</v>
      </c>
      <c r="D20" s="264"/>
    </row>
    <row r="21">
      <c r="B21" s="117" t="s">
        <v>453</v>
      </c>
      <c r="D21" s="264"/>
    </row>
    <row r="22">
      <c r="B22" s="117" t="s">
        <v>453</v>
      </c>
      <c r="D22" s="264"/>
    </row>
    <row r="23">
      <c r="B23" s="117" t="s">
        <v>453</v>
      </c>
      <c r="D23" s="264"/>
    </row>
    <row r="24">
      <c r="B24" s="117" t="s">
        <v>453</v>
      </c>
      <c r="D24" s="264"/>
    </row>
    <row r="25">
      <c r="B25" s="117" t="s">
        <v>453</v>
      </c>
      <c r="D25" s="264"/>
    </row>
    <row r="26">
      <c r="B26" s="117" t="s">
        <v>453</v>
      </c>
      <c r="D26" s="264"/>
    </row>
    <row r="27">
      <c r="B27" s="117" t="s">
        <v>453</v>
      </c>
      <c r="D27" s="264"/>
    </row>
    <row r="28">
      <c r="B28" s="117" t="s">
        <v>453</v>
      </c>
      <c r="D28" s="264"/>
    </row>
    <row r="29">
      <c r="B29" s="117" t="s">
        <v>453</v>
      </c>
      <c r="D29" s="264"/>
    </row>
    <row r="30">
      <c r="B30" s="117" t="s">
        <v>453</v>
      </c>
      <c r="D30" s="264"/>
    </row>
    <row r="31">
      <c r="B31" s="117" t="s">
        <v>453</v>
      </c>
      <c r="D31" s="264"/>
    </row>
    <row r="32">
      <c r="B32" s="117" t="s">
        <v>453</v>
      </c>
      <c r="D32" s="264"/>
    </row>
    <row r="33">
      <c r="B33" s="117" t="s">
        <v>453</v>
      </c>
      <c r="D33" s="264"/>
    </row>
    <row r="34">
      <c r="B34" s="117" t="s">
        <v>453</v>
      </c>
      <c r="D34" s="264"/>
    </row>
    <row r="35">
      <c r="B35" s="117" t="s">
        <v>453</v>
      </c>
      <c r="D35" s="264"/>
    </row>
    <row r="36">
      <c r="B36" s="117" t="s">
        <v>453</v>
      </c>
      <c r="D36" s="264"/>
    </row>
    <row r="37">
      <c r="B37" s="117" t="s">
        <v>453</v>
      </c>
      <c r="D37" s="264"/>
    </row>
    <row r="38">
      <c r="B38" s="117" t="s">
        <v>453</v>
      </c>
      <c r="D38" s="264"/>
    </row>
    <row r="39">
      <c r="D39" s="264"/>
    </row>
    <row r="40">
      <c r="D40" s="264"/>
    </row>
    <row r="41">
      <c r="D41" s="264"/>
    </row>
    <row r="42">
      <c r="D42" s="264"/>
    </row>
    <row r="43">
      <c r="D43" s="264"/>
    </row>
    <row r="44">
      <c r="D44" s="264"/>
    </row>
    <row r="45">
      <c r="D45" s="264"/>
    </row>
    <row r="46">
      <c r="D46" s="264"/>
    </row>
    <row r="47">
      <c r="D47" s="264"/>
    </row>
    <row r="48">
      <c r="D48" s="264"/>
    </row>
    <row r="49">
      <c r="D49" s="264"/>
    </row>
    <row r="50">
      <c r="D50" s="264"/>
    </row>
    <row r="51">
      <c r="D51" s="264"/>
    </row>
    <row r="52">
      <c r="D52" s="264"/>
    </row>
    <row r="53">
      <c r="D53" s="264"/>
    </row>
    <row r="54">
      <c r="D54" s="264"/>
    </row>
    <row r="55">
      <c r="D55" s="264"/>
    </row>
    <row r="56">
      <c r="D56" s="264"/>
    </row>
    <row r="57">
      <c r="D57" s="264"/>
    </row>
    <row r="58">
      <c r="D58" s="264"/>
    </row>
    <row r="59">
      <c r="D59" s="264"/>
    </row>
    <row r="60">
      <c r="D60" s="264"/>
    </row>
    <row r="61">
      <c r="D61" s="264"/>
    </row>
    <row r="62">
      <c r="D62" s="264"/>
    </row>
    <row r="63">
      <c r="D63" s="264"/>
    </row>
    <row r="64">
      <c r="D64" s="264"/>
    </row>
    <row r="65">
      <c r="D65" s="264"/>
    </row>
    <row r="66">
      <c r="D66" s="264"/>
    </row>
    <row r="67">
      <c r="D67" s="264"/>
    </row>
    <row r="68">
      <c r="D68" s="264"/>
    </row>
    <row r="69">
      <c r="D69" s="264"/>
    </row>
    <row r="70">
      <c r="D70" s="264"/>
    </row>
    <row r="71">
      <c r="D71" s="264"/>
    </row>
    <row r="72">
      <c r="D72" s="264"/>
    </row>
    <row r="73">
      <c r="D73" s="264"/>
    </row>
    <row r="74">
      <c r="D74" s="264"/>
    </row>
    <row r="75">
      <c r="D75" s="264"/>
    </row>
    <row r="76">
      <c r="D76" s="264"/>
    </row>
    <row r="77">
      <c r="D77" s="264"/>
    </row>
    <row r="78">
      <c r="D78" s="264"/>
    </row>
    <row r="79">
      <c r="D79" s="264"/>
    </row>
    <row r="80">
      <c r="D80" s="264"/>
    </row>
    <row r="81">
      <c r="D81" s="264"/>
    </row>
    <row r="82">
      <c r="D82" s="264"/>
    </row>
    <row r="83">
      <c r="D83" s="264"/>
    </row>
    <row r="84">
      <c r="D84" s="264"/>
    </row>
    <row r="85">
      <c r="D85" s="264"/>
    </row>
    <row r="86">
      <c r="D86" s="264"/>
    </row>
    <row r="87">
      <c r="D87" s="264"/>
    </row>
    <row r="88">
      <c r="D88" s="264"/>
    </row>
    <row r="89">
      <c r="D89" s="264"/>
    </row>
    <row r="90">
      <c r="D90" s="264"/>
    </row>
    <row r="91">
      <c r="D91" s="264"/>
    </row>
    <row r="92">
      <c r="D92" s="264"/>
    </row>
    <row r="93">
      <c r="D93" s="264"/>
    </row>
    <row r="94">
      <c r="D94" s="264"/>
    </row>
    <row r="95">
      <c r="D95" s="264"/>
    </row>
    <row r="96">
      <c r="D96" s="264"/>
    </row>
    <row r="97">
      <c r="D97" s="264"/>
    </row>
    <row r="98">
      <c r="D98" s="264"/>
    </row>
    <row r="99">
      <c r="D99" s="264"/>
    </row>
    <row r="100">
      <c r="D100" s="264"/>
    </row>
    <row r="101">
      <c r="D101" s="264"/>
    </row>
    <row r="102">
      <c r="D102" s="264"/>
    </row>
    <row r="103">
      <c r="D103" s="264"/>
    </row>
    <row r="104">
      <c r="D104" s="264"/>
    </row>
    <row r="105">
      <c r="D105" s="264"/>
    </row>
    <row r="106">
      <c r="D106" s="264"/>
    </row>
    <row r="107">
      <c r="D107" s="264"/>
    </row>
    <row r="108">
      <c r="D108" s="264"/>
    </row>
    <row r="109">
      <c r="D109" s="264"/>
    </row>
    <row r="110">
      <c r="D110" s="264"/>
    </row>
    <row r="111">
      <c r="D111" s="264"/>
    </row>
    <row r="112">
      <c r="D112" s="264"/>
    </row>
    <row r="113">
      <c r="D113" s="264"/>
    </row>
    <row r="114">
      <c r="D114" s="264"/>
    </row>
    <row r="115">
      <c r="D115" s="264"/>
    </row>
    <row r="116">
      <c r="D116" s="264"/>
    </row>
    <row r="117">
      <c r="D117" s="264"/>
    </row>
    <row r="118">
      <c r="D118" s="264"/>
    </row>
    <row r="119">
      <c r="D119" s="264"/>
    </row>
    <row r="120">
      <c r="D120" s="264"/>
    </row>
    <row r="121">
      <c r="D121" s="264"/>
    </row>
    <row r="122">
      <c r="D122" s="264"/>
    </row>
    <row r="123">
      <c r="D123" s="264"/>
    </row>
    <row r="124">
      <c r="D124" s="264"/>
    </row>
    <row r="125">
      <c r="D125" s="264"/>
    </row>
    <row r="126">
      <c r="D126" s="264"/>
    </row>
    <row r="127">
      <c r="D127" s="264"/>
    </row>
    <row r="128">
      <c r="D128" s="264"/>
    </row>
    <row r="129">
      <c r="D129" s="264"/>
    </row>
    <row r="130">
      <c r="D130" s="264"/>
    </row>
    <row r="131">
      <c r="D131" s="264"/>
    </row>
    <row r="132">
      <c r="D132" s="264"/>
    </row>
    <row r="133">
      <c r="D133" s="264"/>
    </row>
    <row r="134">
      <c r="D134" s="264"/>
    </row>
    <row r="135">
      <c r="D135" s="264"/>
    </row>
    <row r="136">
      <c r="D136" s="264"/>
    </row>
    <row r="137">
      <c r="D137" s="264"/>
    </row>
    <row r="138">
      <c r="D138" s="264"/>
    </row>
    <row r="139">
      <c r="D139" s="264"/>
    </row>
    <row r="140">
      <c r="D140" s="264"/>
    </row>
    <row r="141">
      <c r="D141" s="264"/>
    </row>
    <row r="142">
      <c r="D142" s="264"/>
    </row>
    <row r="143">
      <c r="D143" s="264"/>
    </row>
    <row r="144">
      <c r="D144" s="264"/>
    </row>
    <row r="145">
      <c r="D145" s="264"/>
    </row>
    <row r="146">
      <c r="D146" s="264"/>
    </row>
    <row r="147">
      <c r="D147" s="264"/>
    </row>
    <row r="148">
      <c r="D148" s="264"/>
    </row>
    <row r="149">
      <c r="D149" s="264"/>
    </row>
    <row r="150">
      <c r="D150" s="264"/>
    </row>
    <row r="151">
      <c r="D151" s="264"/>
    </row>
    <row r="152">
      <c r="D152" s="264"/>
    </row>
    <row r="153">
      <c r="D153" s="264"/>
    </row>
    <row r="154">
      <c r="D154" s="264"/>
    </row>
    <row r="155">
      <c r="D155" s="264"/>
    </row>
    <row r="156">
      <c r="D156" s="264"/>
    </row>
    <row r="157">
      <c r="D157" s="264"/>
    </row>
    <row r="158">
      <c r="D158" s="264"/>
    </row>
    <row r="159">
      <c r="D159" s="264"/>
    </row>
    <row r="160">
      <c r="D160" s="264"/>
    </row>
    <row r="161">
      <c r="D161" s="264"/>
    </row>
    <row r="162">
      <c r="D162" s="264"/>
    </row>
    <row r="163">
      <c r="D163" s="264"/>
    </row>
    <row r="164">
      <c r="D164" s="264"/>
    </row>
    <row r="165">
      <c r="D165" s="264"/>
    </row>
    <row r="166">
      <c r="D166" s="264"/>
    </row>
    <row r="167">
      <c r="D167" s="264"/>
    </row>
    <row r="168">
      <c r="D168" s="264"/>
    </row>
    <row r="169">
      <c r="D169" s="264"/>
    </row>
    <row r="170">
      <c r="D170" s="264"/>
    </row>
    <row r="171">
      <c r="D171" s="264"/>
    </row>
    <row r="172">
      <c r="D172" s="264"/>
    </row>
    <row r="173">
      <c r="D173" s="264"/>
    </row>
    <row r="174">
      <c r="D174" s="264"/>
    </row>
    <row r="175">
      <c r="D175" s="264"/>
    </row>
    <row r="176">
      <c r="D176" s="264"/>
    </row>
    <row r="177">
      <c r="D177" s="264"/>
    </row>
    <row r="178">
      <c r="D178" s="264"/>
    </row>
    <row r="179">
      <c r="D179" s="264"/>
    </row>
    <row r="180">
      <c r="D180" s="264"/>
    </row>
    <row r="181">
      <c r="D181" s="264"/>
    </row>
    <row r="182">
      <c r="D182" s="264"/>
    </row>
    <row r="183">
      <c r="D183" s="264"/>
    </row>
    <row r="184">
      <c r="D184" s="264"/>
    </row>
    <row r="185">
      <c r="D185" s="264"/>
    </row>
    <row r="186">
      <c r="D186" s="264"/>
    </row>
    <row r="187">
      <c r="D187" s="264"/>
    </row>
    <row r="188">
      <c r="D188" s="264"/>
    </row>
    <row r="189">
      <c r="D189" s="264"/>
    </row>
    <row r="190">
      <c r="D190" s="264"/>
    </row>
    <row r="191">
      <c r="D191" s="264"/>
    </row>
    <row r="192">
      <c r="D192" s="264"/>
    </row>
    <row r="193">
      <c r="D193" s="264"/>
    </row>
    <row r="194">
      <c r="D194" s="264"/>
    </row>
    <row r="195">
      <c r="D195" s="264"/>
    </row>
    <row r="196">
      <c r="D196" s="264"/>
    </row>
    <row r="197">
      <c r="D197" s="264"/>
    </row>
    <row r="198">
      <c r="D198" s="264"/>
    </row>
    <row r="199">
      <c r="D199" s="264"/>
    </row>
    <row r="200">
      <c r="D200" s="264"/>
    </row>
    <row r="201">
      <c r="D201" s="264"/>
    </row>
    <row r="202">
      <c r="D202" s="264"/>
    </row>
    <row r="203">
      <c r="D203" s="264"/>
    </row>
    <row r="204">
      <c r="D204" s="264"/>
    </row>
    <row r="205">
      <c r="D205" s="264"/>
    </row>
    <row r="206">
      <c r="D206" s="264"/>
    </row>
    <row r="207">
      <c r="D207" s="264"/>
    </row>
    <row r="208">
      <c r="D208" s="264"/>
    </row>
    <row r="209">
      <c r="D209" s="264"/>
    </row>
    <row r="210">
      <c r="D210" s="264"/>
    </row>
    <row r="211">
      <c r="D211" s="264"/>
    </row>
    <row r="212">
      <c r="D212" s="264"/>
    </row>
    <row r="213">
      <c r="D213" s="264"/>
    </row>
    <row r="214">
      <c r="D214" s="264"/>
    </row>
    <row r="215">
      <c r="D215" s="264"/>
    </row>
    <row r="216">
      <c r="D216" s="264"/>
    </row>
    <row r="217">
      <c r="D217" s="264"/>
    </row>
    <row r="218">
      <c r="D218" s="264"/>
    </row>
    <row r="219">
      <c r="D219" s="264"/>
    </row>
    <row r="220">
      <c r="D220" s="264"/>
    </row>
    <row r="221">
      <c r="D221" s="264"/>
    </row>
    <row r="222">
      <c r="D222" s="264"/>
    </row>
    <row r="223">
      <c r="D223" s="264"/>
    </row>
    <row r="224">
      <c r="D224" s="264"/>
    </row>
    <row r="225">
      <c r="D225" s="264"/>
    </row>
    <row r="226">
      <c r="D226" s="264"/>
    </row>
    <row r="227">
      <c r="D227" s="264"/>
    </row>
    <row r="228">
      <c r="D228" s="264"/>
    </row>
    <row r="229">
      <c r="D229" s="264"/>
    </row>
    <row r="230">
      <c r="D230" s="264"/>
    </row>
    <row r="231">
      <c r="D231" s="264"/>
    </row>
    <row r="232">
      <c r="D232" s="264"/>
    </row>
    <row r="233">
      <c r="D233" s="264"/>
    </row>
    <row r="234">
      <c r="D234" s="264"/>
    </row>
    <row r="235">
      <c r="D235" s="264"/>
    </row>
    <row r="236">
      <c r="D236" s="264"/>
    </row>
    <row r="237">
      <c r="D237" s="264"/>
    </row>
    <row r="238">
      <c r="D238" s="264"/>
    </row>
    <row r="239">
      <c r="D239" s="264"/>
    </row>
    <row r="240">
      <c r="D240" s="264"/>
    </row>
    <row r="241">
      <c r="D241" s="264"/>
    </row>
    <row r="242">
      <c r="D242" s="264"/>
    </row>
    <row r="243">
      <c r="D243" s="264"/>
    </row>
    <row r="244">
      <c r="D244" s="264"/>
    </row>
    <row r="245">
      <c r="D245" s="264"/>
    </row>
    <row r="246">
      <c r="D246" s="264"/>
    </row>
    <row r="247">
      <c r="D247" s="264"/>
    </row>
    <row r="248">
      <c r="D248" s="264"/>
    </row>
    <row r="249">
      <c r="D249" s="264"/>
    </row>
    <row r="250">
      <c r="D250" s="264"/>
    </row>
    <row r="251">
      <c r="D251" s="264"/>
    </row>
    <row r="252">
      <c r="D252" s="264"/>
    </row>
    <row r="253">
      <c r="D253" s="264"/>
    </row>
    <row r="254">
      <c r="D254" s="264"/>
    </row>
    <row r="255">
      <c r="D255" s="264"/>
    </row>
    <row r="256">
      <c r="D256" s="264"/>
    </row>
    <row r="257">
      <c r="D257" s="264"/>
    </row>
    <row r="258">
      <c r="D258" s="264"/>
    </row>
    <row r="259">
      <c r="D259" s="264"/>
    </row>
    <row r="260">
      <c r="D260" s="264"/>
    </row>
    <row r="261">
      <c r="D261" s="264"/>
    </row>
    <row r="262">
      <c r="D262" s="264"/>
    </row>
    <row r="263">
      <c r="D263" s="264"/>
    </row>
    <row r="264">
      <c r="D264" s="264"/>
    </row>
    <row r="265">
      <c r="D265" s="264"/>
    </row>
    <row r="266">
      <c r="D266" s="264"/>
    </row>
    <row r="267">
      <c r="D267" s="264"/>
    </row>
    <row r="268">
      <c r="D268" s="264"/>
    </row>
    <row r="269">
      <c r="D269" s="264"/>
    </row>
    <row r="270">
      <c r="D270" s="264"/>
    </row>
    <row r="271">
      <c r="D271" s="264"/>
    </row>
    <row r="272">
      <c r="D272" s="264"/>
    </row>
    <row r="273">
      <c r="D273" s="264"/>
    </row>
    <row r="274">
      <c r="D274" s="264"/>
    </row>
    <row r="275">
      <c r="D275" s="264"/>
    </row>
    <row r="276">
      <c r="D276" s="264"/>
    </row>
    <row r="277">
      <c r="D277" s="264"/>
    </row>
    <row r="278">
      <c r="D278" s="264"/>
    </row>
    <row r="279">
      <c r="D279" s="264"/>
    </row>
    <row r="280">
      <c r="D280" s="264"/>
    </row>
    <row r="281">
      <c r="D281" s="264"/>
    </row>
    <row r="282">
      <c r="D282" s="264"/>
    </row>
    <row r="283">
      <c r="D283" s="264"/>
    </row>
    <row r="284">
      <c r="D284" s="264"/>
    </row>
    <row r="285">
      <c r="D285" s="264"/>
    </row>
    <row r="286">
      <c r="D286" s="264"/>
    </row>
    <row r="287">
      <c r="D287" s="264"/>
    </row>
    <row r="288">
      <c r="D288" s="264"/>
    </row>
    <row r="289">
      <c r="D289" s="264"/>
    </row>
    <row r="290">
      <c r="D290" s="264"/>
    </row>
    <row r="291">
      <c r="D291" s="264"/>
    </row>
    <row r="292">
      <c r="D292" s="264"/>
    </row>
    <row r="293">
      <c r="D293" s="264"/>
    </row>
    <row r="294">
      <c r="D294" s="264"/>
    </row>
    <row r="295">
      <c r="D295" s="264"/>
    </row>
    <row r="296">
      <c r="D296" s="264"/>
    </row>
    <row r="297">
      <c r="D297" s="264"/>
    </row>
    <row r="298">
      <c r="D298" s="264"/>
    </row>
    <row r="299">
      <c r="D299" s="264"/>
    </row>
    <row r="300">
      <c r="D300" s="264"/>
    </row>
    <row r="301">
      <c r="D301" s="264"/>
    </row>
    <row r="302">
      <c r="D302" s="264"/>
    </row>
    <row r="303">
      <c r="D303" s="264"/>
    </row>
    <row r="304">
      <c r="D304" s="264"/>
    </row>
    <row r="305">
      <c r="D305" s="264"/>
    </row>
    <row r="306">
      <c r="D306" s="264"/>
    </row>
    <row r="307">
      <c r="D307" s="264"/>
    </row>
    <row r="308">
      <c r="D308" s="264"/>
    </row>
    <row r="309">
      <c r="D309" s="264"/>
    </row>
    <row r="310">
      <c r="D310" s="264"/>
    </row>
    <row r="311">
      <c r="D311" s="264"/>
    </row>
    <row r="312">
      <c r="D312" s="264"/>
    </row>
    <row r="313">
      <c r="D313" s="264"/>
    </row>
    <row r="314">
      <c r="D314" s="264"/>
    </row>
    <row r="315">
      <c r="D315" s="264"/>
    </row>
    <row r="316">
      <c r="D316" s="264"/>
    </row>
    <row r="317">
      <c r="D317" s="264"/>
    </row>
    <row r="318">
      <c r="D318" s="264"/>
    </row>
    <row r="319">
      <c r="D319" s="264"/>
    </row>
    <row r="320">
      <c r="D320" s="264"/>
    </row>
    <row r="321">
      <c r="D321" s="264"/>
    </row>
    <row r="322">
      <c r="D322" s="264"/>
    </row>
    <row r="323">
      <c r="D323" s="264"/>
    </row>
    <row r="324">
      <c r="D324" s="264"/>
    </row>
    <row r="325">
      <c r="D325" s="264"/>
    </row>
    <row r="326">
      <c r="D326" s="264"/>
    </row>
    <row r="327">
      <c r="D327" s="264"/>
    </row>
    <row r="328">
      <c r="D328" s="264"/>
    </row>
    <row r="329">
      <c r="D329" s="264"/>
    </row>
    <row r="330">
      <c r="D330" s="264"/>
    </row>
    <row r="331">
      <c r="D331" s="264"/>
    </row>
    <row r="332">
      <c r="D332" s="264"/>
    </row>
    <row r="333">
      <c r="D333" s="264"/>
    </row>
    <row r="334">
      <c r="D334" s="264"/>
    </row>
    <row r="335">
      <c r="D335" s="264"/>
    </row>
    <row r="336">
      <c r="D336" s="264"/>
    </row>
    <row r="337">
      <c r="D337" s="264"/>
    </row>
    <row r="338">
      <c r="D338" s="264"/>
    </row>
    <row r="339">
      <c r="D339" s="264"/>
    </row>
    <row r="340">
      <c r="D340" s="264"/>
    </row>
    <row r="341">
      <c r="D341" s="264"/>
    </row>
    <row r="342">
      <c r="D342" s="264"/>
    </row>
    <row r="343">
      <c r="D343" s="264"/>
    </row>
    <row r="344">
      <c r="D344" s="264"/>
    </row>
    <row r="345">
      <c r="D345" s="264"/>
    </row>
    <row r="346">
      <c r="D346" s="264"/>
    </row>
    <row r="347">
      <c r="D347" s="264"/>
    </row>
    <row r="348">
      <c r="D348" s="264"/>
    </row>
    <row r="349">
      <c r="D349" s="264"/>
    </row>
    <row r="350">
      <c r="D350" s="264"/>
    </row>
    <row r="351">
      <c r="D351" s="264"/>
    </row>
    <row r="352">
      <c r="D352" s="264"/>
    </row>
    <row r="353">
      <c r="D353" s="264"/>
    </row>
    <row r="354">
      <c r="D354" s="264"/>
    </row>
    <row r="355">
      <c r="D355" s="264"/>
    </row>
    <row r="356">
      <c r="D356" s="264"/>
    </row>
    <row r="357">
      <c r="D357" s="264"/>
    </row>
    <row r="358">
      <c r="D358" s="264"/>
    </row>
    <row r="359">
      <c r="D359" s="264"/>
    </row>
    <row r="360">
      <c r="D360" s="264"/>
    </row>
    <row r="361">
      <c r="D361" s="264"/>
    </row>
    <row r="362">
      <c r="D362" s="264"/>
    </row>
    <row r="363">
      <c r="D363" s="264"/>
    </row>
    <row r="364">
      <c r="D364" s="264"/>
    </row>
    <row r="365">
      <c r="D365" s="264"/>
    </row>
    <row r="366">
      <c r="D366" s="264"/>
    </row>
    <row r="367">
      <c r="D367" s="264"/>
    </row>
    <row r="368">
      <c r="D368" s="264"/>
    </row>
    <row r="369">
      <c r="D369" s="264"/>
    </row>
    <row r="370">
      <c r="D370" s="264"/>
    </row>
    <row r="371">
      <c r="D371" s="264"/>
    </row>
    <row r="372">
      <c r="D372" s="264"/>
    </row>
    <row r="373">
      <c r="D373" s="264"/>
    </row>
    <row r="374">
      <c r="D374" s="264"/>
    </row>
    <row r="375">
      <c r="D375" s="264"/>
    </row>
    <row r="376">
      <c r="D376" s="264"/>
    </row>
    <row r="377">
      <c r="D377" s="264"/>
    </row>
    <row r="378">
      <c r="D378" s="264"/>
    </row>
    <row r="379">
      <c r="D379" s="264"/>
    </row>
    <row r="380">
      <c r="D380" s="264"/>
    </row>
    <row r="381">
      <c r="D381" s="264"/>
    </row>
    <row r="382">
      <c r="D382" s="264"/>
    </row>
    <row r="383">
      <c r="D383" s="264"/>
    </row>
    <row r="384">
      <c r="D384" s="264"/>
    </row>
    <row r="385">
      <c r="D385" s="264"/>
    </row>
    <row r="386">
      <c r="D386" s="264"/>
    </row>
    <row r="387">
      <c r="D387" s="264"/>
    </row>
    <row r="388">
      <c r="D388" s="264"/>
    </row>
    <row r="389">
      <c r="D389" s="264"/>
    </row>
    <row r="390">
      <c r="D390" s="264"/>
    </row>
    <row r="391">
      <c r="D391" s="264"/>
    </row>
    <row r="392">
      <c r="D392" s="264"/>
    </row>
    <row r="393">
      <c r="D393" s="264"/>
    </row>
    <row r="394">
      <c r="D394" s="264"/>
    </row>
    <row r="395">
      <c r="D395" s="264"/>
    </row>
    <row r="396">
      <c r="D396" s="264"/>
    </row>
    <row r="397">
      <c r="D397" s="264"/>
    </row>
    <row r="398">
      <c r="D398" s="264"/>
    </row>
    <row r="399">
      <c r="D399" s="264"/>
    </row>
    <row r="400">
      <c r="D400" s="264"/>
    </row>
    <row r="401">
      <c r="D401" s="264"/>
    </row>
    <row r="402">
      <c r="D402" s="264"/>
    </row>
    <row r="403">
      <c r="D403" s="264"/>
    </row>
    <row r="404">
      <c r="D404" s="264"/>
    </row>
    <row r="405">
      <c r="D405" s="264"/>
    </row>
    <row r="406">
      <c r="D406" s="264"/>
    </row>
    <row r="407">
      <c r="D407" s="264"/>
    </row>
    <row r="408">
      <c r="D408" s="264"/>
    </row>
    <row r="409">
      <c r="D409" s="264"/>
    </row>
    <row r="410">
      <c r="D410" s="264"/>
    </row>
    <row r="411">
      <c r="D411" s="264"/>
    </row>
    <row r="412">
      <c r="D412" s="264"/>
    </row>
    <row r="413">
      <c r="D413" s="264"/>
    </row>
    <row r="414">
      <c r="D414" s="264"/>
    </row>
    <row r="415">
      <c r="D415" s="264"/>
    </row>
    <row r="416">
      <c r="D416" s="264"/>
    </row>
    <row r="417">
      <c r="D417" s="264"/>
    </row>
    <row r="418">
      <c r="D418" s="264"/>
    </row>
    <row r="419">
      <c r="D419" s="264"/>
    </row>
    <row r="420">
      <c r="D420" s="264"/>
    </row>
    <row r="421">
      <c r="D421" s="264"/>
    </row>
    <row r="422">
      <c r="D422" s="264"/>
    </row>
    <row r="423">
      <c r="D423" s="264"/>
    </row>
    <row r="424">
      <c r="D424" s="264"/>
    </row>
    <row r="425">
      <c r="D425" s="264"/>
    </row>
    <row r="426">
      <c r="D426" s="264"/>
    </row>
    <row r="427">
      <c r="D427" s="264"/>
    </row>
    <row r="428">
      <c r="D428" s="264"/>
    </row>
    <row r="429">
      <c r="D429" s="264"/>
    </row>
    <row r="430">
      <c r="D430" s="264"/>
    </row>
    <row r="431">
      <c r="D431" s="264"/>
    </row>
    <row r="432">
      <c r="D432" s="264"/>
    </row>
    <row r="433">
      <c r="D433" s="264"/>
    </row>
    <row r="434">
      <c r="D434" s="264"/>
    </row>
    <row r="435">
      <c r="D435" s="264"/>
    </row>
    <row r="436">
      <c r="D436" s="264"/>
    </row>
    <row r="437">
      <c r="D437" s="264"/>
    </row>
    <row r="438">
      <c r="D438" s="264"/>
    </row>
    <row r="439">
      <c r="D439" s="264"/>
    </row>
    <row r="440">
      <c r="D440" s="264"/>
    </row>
    <row r="441">
      <c r="D441" s="264"/>
    </row>
    <row r="442">
      <c r="D442" s="264"/>
    </row>
    <row r="443">
      <c r="D443" s="264"/>
    </row>
    <row r="444">
      <c r="D444" s="264"/>
    </row>
    <row r="445">
      <c r="D445" s="264"/>
    </row>
    <row r="446">
      <c r="D446" s="264"/>
    </row>
    <row r="447">
      <c r="D447" s="264"/>
    </row>
    <row r="448">
      <c r="D448" s="264"/>
    </row>
    <row r="449">
      <c r="D449" s="264"/>
    </row>
    <row r="450">
      <c r="D450" s="264"/>
    </row>
    <row r="451">
      <c r="D451" s="264"/>
    </row>
    <row r="452">
      <c r="D452" s="264"/>
    </row>
    <row r="453">
      <c r="D453" s="264"/>
    </row>
    <row r="454">
      <c r="D454" s="264"/>
    </row>
    <row r="455">
      <c r="D455" s="264"/>
    </row>
    <row r="456">
      <c r="D456" s="264"/>
    </row>
    <row r="457">
      <c r="D457" s="264"/>
    </row>
    <row r="458">
      <c r="D458" s="264"/>
    </row>
    <row r="459">
      <c r="D459" s="264"/>
    </row>
    <row r="460">
      <c r="D460" s="264"/>
    </row>
    <row r="461">
      <c r="D461" s="264"/>
    </row>
    <row r="462">
      <c r="D462" s="264"/>
    </row>
    <row r="463">
      <c r="D463" s="264"/>
    </row>
    <row r="464">
      <c r="D464" s="264"/>
    </row>
    <row r="465">
      <c r="D465" s="264"/>
    </row>
    <row r="466">
      <c r="D466" s="264"/>
    </row>
    <row r="467">
      <c r="D467" s="264"/>
    </row>
    <row r="468">
      <c r="D468" s="264"/>
    </row>
    <row r="469">
      <c r="D469" s="264"/>
    </row>
    <row r="470">
      <c r="D470" s="264"/>
    </row>
    <row r="471">
      <c r="D471" s="264"/>
    </row>
    <row r="472">
      <c r="D472" s="264"/>
    </row>
    <row r="473">
      <c r="D473" s="264"/>
    </row>
    <row r="474">
      <c r="D474" s="264"/>
    </row>
    <row r="475">
      <c r="D475" s="264"/>
    </row>
    <row r="476">
      <c r="D476" s="264"/>
    </row>
    <row r="477">
      <c r="D477" s="264"/>
    </row>
    <row r="478">
      <c r="D478" s="264"/>
    </row>
    <row r="479">
      <c r="D479" s="264"/>
    </row>
    <row r="480">
      <c r="D480" s="264"/>
    </row>
    <row r="481">
      <c r="D481" s="264"/>
    </row>
    <row r="482">
      <c r="D482" s="264"/>
    </row>
    <row r="483">
      <c r="D483" s="264"/>
    </row>
    <row r="484">
      <c r="D484" s="264"/>
    </row>
    <row r="485">
      <c r="D485" s="264"/>
    </row>
    <row r="486">
      <c r="D486" s="264"/>
    </row>
    <row r="487">
      <c r="D487" s="264"/>
    </row>
    <row r="488">
      <c r="D488" s="264"/>
    </row>
    <row r="489">
      <c r="D489" s="264"/>
    </row>
    <row r="490">
      <c r="D490" s="264"/>
    </row>
    <row r="491">
      <c r="D491" s="264"/>
    </row>
    <row r="492">
      <c r="D492" s="264"/>
    </row>
    <row r="493">
      <c r="D493" s="264"/>
    </row>
    <row r="494">
      <c r="D494" s="264"/>
    </row>
    <row r="495">
      <c r="D495" s="264"/>
    </row>
    <row r="496">
      <c r="D496" s="264"/>
    </row>
    <row r="497">
      <c r="D497" s="264"/>
    </row>
    <row r="498">
      <c r="D498" s="264"/>
    </row>
    <row r="499">
      <c r="D499" s="264"/>
    </row>
    <row r="500">
      <c r="D500" s="264"/>
    </row>
    <row r="501">
      <c r="D501" s="264"/>
    </row>
    <row r="502">
      <c r="D502" s="264"/>
    </row>
    <row r="503">
      <c r="D503" s="264"/>
    </row>
    <row r="504">
      <c r="D504" s="264"/>
    </row>
    <row r="505">
      <c r="D505" s="264"/>
    </row>
    <row r="506">
      <c r="D506" s="264"/>
    </row>
    <row r="507">
      <c r="D507" s="264"/>
    </row>
    <row r="508">
      <c r="D508" s="264"/>
    </row>
    <row r="509">
      <c r="D509" s="264"/>
    </row>
    <row r="510">
      <c r="D510" s="264"/>
    </row>
    <row r="511">
      <c r="D511" s="264"/>
    </row>
    <row r="512">
      <c r="D512" s="264"/>
    </row>
    <row r="513">
      <c r="D513" s="264"/>
    </row>
    <row r="514">
      <c r="D514" s="264"/>
    </row>
    <row r="515">
      <c r="D515" s="264"/>
    </row>
    <row r="516">
      <c r="D516" s="264"/>
    </row>
    <row r="517">
      <c r="D517" s="264"/>
    </row>
    <row r="518">
      <c r="D518" s="264"/>
    </row>
    <row r="519">
      <c r="D519" s="264"/>
    </row>
    <row r="520">
      <c r="D520" s="264"/>
    </row>
    <row r="521">
      <c r="D521" s="264"/>
    </row>
    <row r="522">
      <c r="D522" s="264"/>
    </row>
    <row r="523">
      <c r="D523" s="264"/>
    </row>
    <row r="524">
      <c r="D524" s="264"/>
    </row>
    <row r="525">
      <c r="D525" s="264"/>
    </row>
    <row r="526">
      <c r="D526" s="264"/>
    </row>
    <row r="527">
      <c r="D527" s="264"/>
    </row>
    <row r="528">
      <c r="D528" s="264"/>
    </row>
    <row r="529">
      <c r="D529" s="264"/>
    </row>
    <row r="530">
      <c r="D530" s="264"/>
    </row>
    <row r="531">
      <c r="D531" s="264"/>
    </row>
    <row r="532">
      <c r="D532" s="264"/>
    </row>
    <row r="533">
      <c r="D533" s="264"/>
    </row>
    <row r="534">
      <c r="D534" s="264"/>
    </row>
    <row r="535">
      <c r="D535" s="264"/>
    </row>
    <row r="536">
      <c r="D536" s="264"/>
    </row>
    <row r="537">
      <c r="D537" s="264"/>
    </row>
    <row r="538">
      <c r="D538" s="264"/>
    </row>
    <row r="539">
      <c r="D539" s="264"/>
    </row>
    <row r="540">
      <c r="D540" s="264"/>
    </row>
    <row r="541">
      <c r="D541" s="264"/>
    </row>
    <row r="542">
      <c r="D542" s="264"/>
    </row>
    <row r="543">
      <c r="D543" s="264"/>
    </row>
    <row r="544">
      <c r="D544" s="264"/>
    </row>
    <row r="545">
      <c r="D545" s="264"/>
    </row>
    <row r="546">
      <c r="D546" s="264"/>
    </row>
    <row r="547">
      <c r="D547" s="264"/>
    </row>
    <row r="548">
      <c r="D548" s="264"/>
    </row>
    <row r="549">
      <c r="D549" s="264"/>
    </row>
    <row r="550">
      <c r="D550" s="264"/>
    </row>
    <row r="551">
      <c r="D551" s="264"/>
    </row>
    <row r="552">
      <c r="D552" s="264"/>
    </row>
    <row r="553">
      <c r="D553" s="264"/>
    </row>
    <row r="554">
      <c r="D554" s="264"/>
    </row>
    <row r="555">
      <c r="D555" s="264"/>
    </row>
    <row r="556">
      <c r="D556" s="264"/>
    </row>
    <row r="557">
      <c r="D557" s="264"/>
    </row>
    <row r="558">
      <c r="D558" s="264"/>
    </row>
    <row r="559">
      <c r="D559" s="264"/>
    </row>
    <row r="560">
      <c r="D560" s="264"/>
    </row>
    <row r="561">
      <c r="D561" s="264"/>
    </row>
    <row r="562">
      <c r="D562" s="264"/>
    </row>
    <row r="563">
      <c r="D563" s="264"/>
    </row>
    <row r="564">
      <c r="D564" s="264"/>
    </row>
    <row r="565">
      <c r="D565" s="264"/>
    </row>
    <row r="566">
      <c r="D566" s="264"/>
    </row>
    <row r="567">
      <c r="D567" s="264"/>
    </row>
    <row r="568">
      <c r="D568" s="264"/>
    </row>
    <row r="569">
      <c r="D569" s="264"/>
    </row>
    <row r="570">
      <c r="D570" s="264"/>
    </row>
    <row r="571">
      <c r="D571" s="264"/>
    </row>
    <row r="572">
      <c r="D572" s="264"/>
    </row>
    <row r="573">
      <c r="D573" s="264"/>
    </row>
    <row r="574">
      <c r="D574" s="264"/>
    </row>
    <row r="575">
      <c r="D575" s="264"/>
    </row>
    <row r="576">
      <c r="D576" s="264"/>
    </row>
    <row r="577">
      <c r="D577" s="264"/>
    </row>
    <row r="578">
      <c r="D578" s="264"/>
    </row>
    <row r="579">
      <c r="D579" s="264"/>
    </row>
    <row r="580">
      <c r="D580" s="264"/>
    </row>
    <row r="581">
      <c r="D581" s="264"/>
    </row>
    <row r="582">
      <c r="D582" s="264"/>
    </row>
    <row r="583">
      <c r="D583" s="264"/>
    </row>
    <row r="584">
      <c r="D584" s="264"/>
    </row>
    <row r="585">
      <c r="D585" s="264"/>
    </row>
    <row r="586">
      <c r="D586" s="264"/>
    </row>
    <row r="587">
      <c r="D587" s="264"/>
    </row>
    <row r="588">
      <c r="D588" s="264"/>
    </row>
    <row r="589">
      <c r="D589" s="264"/>
    </row>
    <row r="590">
      <c r="D590" s="264"/>
    </row>
    <row r="591">
      <c r="D591" s="264"/>
    </row>
    <row r="592">
      <c r="D592" s="264"/>
    </row>
    <row r="593">
      <c r="D593" s="264"/>
    </row>
    <row r="594">
      <c r="D594" s="264"/>
    </row>
    <row r="595">
      <c r="D595" s="264"/>
    </row>
    <row r="596">
      <c r="D596" s="264"/>
    </row>
    <row r="597">
      <c r="D597" s="264"/>
    </row>
    <row r="598">
      <c r="D598" s="264"/>
    </row>
    <row r="599">
      <c r="D599" s="264"/>
    </row>
    <row r="600">
      <c r="D600" s="264"/>
    </row>
    <row r="601">
      <c r="D601" s="264"/>
    </row>
    <row r="602">
      <c r="D602" s="264"/>
    </row>
    <row r="603">
      <c r="D603" s="264"/>
    </row>
    <row r="604">
      <c r="D604" s="264"/>
    </row>
    <row r="605">
      <c r="D605" s="264"/>
    </row>
    <row r="606">
      <c r="D606" s="264"/>
    </row>
    <row r="607">
      <c r="D607" s="264"/>
    </row>
    <row r="608">
      <c r="D608" s="264"/>
    </row>
    <row r="609">
      <c r="D609" s="264"/>
    </row>
    <row r="610">
      <c r="D610" s="264"/>
    </row>
    <row r="611">
      <c r="D611" s="264"/>
    </row>
    <row r="612">
      <c r="D612" s="264"/>
    </row>
    <row r="613">
      <c r="D613" s="264"/>
    </row>
    <row r="614">
      <c r="D614" s="264"/>
    </row>
    <row r="615">
      <c r="D615" s="264"/>
    </row>
    <row r="616">
      <c r="D616" s="264"/>
    </row>
    <row r="617">
      <c r="D617" s="264"/>
    </row>
    <row r="618">
      <c r="D618" s="264"/>
    </row>
    <row r="619">
      <c r="D619" s="264"/>
    </row>
    <row r="620">
      <c r="D620" s="264"/>
    </row>
    <row r="621">
      <c r="D621" s="264"/>
    </row>
    <row r="622">
      <c r="D622" s="264"/>
    </row>
    <row r="623">
      <c r="D623" s="264"/>
    </row>
    <row r="624">
      <c r="D624" s="264"/>
    </row>
    <row r="625">
      <c r="D625" s="264"/>
    </row>
    <row r="626">
      <c r="D626" s="264"/>
    </row>
    <row r="627">
      <c r="D627" s="264"/>
    </row>
    <row r="628">
      <c r="D628" s="264"/>
    </row>
    <row r="629">
      <c r="D629" s="264"/>
    </row>
    <row r="630">
      <c r="D630" s="264"/>
    </row>
    <row r="631">
      <c r="D631" s="264"/>
    </row>
    <row r="632">
      <c r="D632" s="264"/>
    </row>
    <row r="633">
      <c r="D633" s="264"/>
    </row>
    <row r="634">
      <c r="D634" s="264"/>
    </row>
    <row r="635">
      <c r="D635" s="264"/>
    </row>
    <row r="636">
      <c r="D636" s="264"/>
    </row>
    <row r="637">
      <c r="D637" s="264"/>
    </row>
    <row r="638">
      <c r="D638" s="264"/>
    </row>
    <row r="639">
      <c r="D639" s="264"/>
    </row>
    <row r="640">
      <c r="D640" s="264"/>
    </row>
    <row r="641">
      <c r="D641" s="264"/>
    </row>
    <row r="642">
      <c r="D642" s="264"/>
    </row>
    <row r="643">
      <c r="D643" s="264"/>
    </row>
    <row r="644">
      <c r="D644" s="264"/>
    </row>
    <row r="645">
      <c r="D645" s="264"/>
    </row>
    <row r="646">
      <c r="D646" s="264"/>
    </row>
    <row r="647">
      <c r="D647" s="264"/>
    </row>
    <row r="648">
      <c r="D648" s="264"/>
    </row>
    <row r="649">
      <c r="D649" s="264"/>
    </row>
    <row r="650">
      <c r="D650" s="264"/>
    </row>
    <row r="651">
      <c r="D651" s="264"/>
    </row>
    <row r="652">
      <c r="D652" s="264"/>
    </row>
    <row r="653">
      <c r="D653" s="264"/>
    </row>
    <row r="654">
      <c r="D654" s="264"/>
    </row>
    <row r="655">
      <c r="D655" s="264"/>
    </row>
    <row r="656">
      <c r="D656" s="264"/>
    </row>
    <row r="657">
      <c r="D657" s="264"/>
    </row>
    <row r="658">
      <c r="D658" s="264"/>
    </row>
    <row r="659">
      <c r="D659" s="264"/>
    </row>
    <row r="660">
      <c r="D660" s="264"/>
    </row>
    <row r="661">
      <c r="D661" s="264"/>
    </row>
    <row r="662">
      <c r="D662" s="264"/>
    </row>
    <row r="663">
      <c r="D663" s="264"/>
    </row>
    <row r="664">
      <c r="D664" s="264"/>
    </row>
    <row r="665">
      <c r="D665" s="264"/>
    </row>
    <row r="666">
      <c r="D666" s="264"/>
    </row>
    <row r="667">
      <c r="D667" s="264"/>
    </row>
    <row r="668">
      <c r="D668" s="264"/>
    </row>
    <row r="669">
      <c r="D669" s="264"/>
    </row>
    <row r="670">
      <c r="D670" s="264"/>
    </row>
    <row r="671">
      <c r="D671" s="264"/>
    </row>
    <row r="672">
      <c r="D672" s="264"/>
    </row>
    <row r="673">
      <c r="D673" s="264"/>
    </row>
    <row r="674">
      <c r="D674" s="264"/>
    </row>
    <row r="675">
      <c r="D675" s="264"/>
    </row>
    <row r="676">
      <c r="D676" s="264"/>
    </row>
    <row r="677">
      <c r="D677" s="264"/>
    </row>
    <row r="678">
      <c r="D678" s="264"/>
    </row>
    <row r="679">
      <c r="D679" s="264"/>
    </row>
    <row r="680">
      <c r="D680" s="264"/>
    </row>
    <row r="681">
      <c r="D681" s="264"/>
    </row>
    <row r="682">
      <c r="D682" s="264"/>
    </row>
    <row r="683">
      <c r="D683" s="264"/>
    </row>
    <row r="684">
      <c r="D684" s="264"/>
    </row>
    <row r="685">
      <c r="D685" s="264"/>
    </row>
    <row r="686">
      <c r="D686" s="264"/>
    </row>
    <row r="687">
      <c r="D687" s="264"/>
    </row>
    <row r="688">
      <c r="D688" s="264"/>
    </row>
    <row r="689">
      <c r="D689" s="264"/>
    </row>
    <row r="690">
      <c r="D690" s="264"/>
    </row>
    <row r="691">
      <c r="D691" s="264"/>
    </row>
    <row r="692">
      <c r="D692" s="264"/>
    </row>
    <row r="693">
      <c r="D693" s="264"/>
    </row>
    <row r="694">
      <c r="D694" s="264"/>
    </row>
    <row r="695">
      <c r="D695" s="264"/>
    </row>
    <row r="696">
      <c r="D696" s="264"/>
    </row>
    <row r="697">
      <c r="D697" s="264"/>
    </row>
    <row r="698">
      <c r="D698" s="264"/>
    </row>
    <row r="699">
      <c r="D699" s="264"/>
    </row>
    <row r="700">
      <c r="D700" s="264"/>
    </row>
    <row r="701">
      <c r="D701" s="264"/>
    </row>
    <row r="702">
      <c r="D702" s="264"/>
    </row>
    <row r="703">
      <c r="D703" s="264"/>
    </row>
    <row r="704">
      <c r="D704" s="264"/>
    </row>
    <row r="705">
      <c r="D705" s="264"/>
    </row>
    <row r="706">
      <c r="D706" s="264"/>
    </row>
    <row r="707">
      <c r="D707" s="264"/>
    </row>
    <row r="708">
      <c r="D708" s="264"/>
    </row>
    <row r="709">
      <c r="D709" s="264"/>
    </row>
    <row r="710">
      <c r="D710" s="264"/>
    </row>
    <row r="711">
      <c r="D711" s="264"/>
    </row>
    <row r="712">
      <c r="D712" s="264"/>
    </row>
    <row r="713">
      <c r="D713" s="264"/>
    </row>
    <row r="714">
      <c r="D714" s="264"/>
    </row>
    <row r="715">
      <c r="D715" s="264"/>
    </row>
    <row r="716">
      <c r="D716" s="264"/>
    </row>
    <row r="717">
      <c r="D717" s="264"/>
    </row>
    <row r="718">
      <c r="D718" s="264"/>
    </row>
    <row r="719">
      <c r="D719" s="264"/>
    </row>
    <row r="720">
      <c r="D720" s="264"/>
    </row>
    <row r="721">
      <c r="D721" s="264"/>
    </row>
    <row r="722">
      <c r="D722" s="264"/>
    </row>
    <row r="723">
      <c r="D723" s="264"/>
    </row>
    <row r="724">
      <c r="D724" s="264"/>
    </row>
    <row r="725">
      <c r="D725" s="264"/>
    </row>
    <row r="726">
      <c r="D726" s="264"/>
    </row>
    <row r="727">
      <c r="D727" s="264"/>
    </row>
    <row r="728">
      <c r="D728" s="264"/>
    </row>
    <row r="729">
      <c r="D729" s="264"/>
    </row>
    <row r="730">
      <c r="D730" s="264"/>
    </row>
    <row r="731">
      <c r="D731" s="264"/>
    </row>
    <row r="732">
      <c r="D732" s="264"/>
    </row>
    <row r="733">
      <c r="D733" s="264"/>
    </row>
    <row r="734">
      <c r="D734" s="264"/>
    </row>
    <row r="735">
      <c r="D735" s="264"/>
    </row>
    <row r="736">
      <c r="D736" s="264"/>
    </row>
    <row r="737">
      <c r="D737" s="264"/>
    </row>
    <row r="738">
      <c r="D738" s="264"/>
    </row>
    <row r="739">
      <c r="D739" s="264"/>
    </row>
    <row r="740">
      <c r="D740" s="264"/>
    </row>
    <row r="741">
      <c r="D741" s="264"/>
    </row>
    <row r="742">
      <c r="D742" s="264"/>
    </row>
    <row r="743">
      <c r="D743" s="264"/>
    </row>
    <row r="744">
      <c r="D744" s="264"/>
    </row>
    <row r="745">
      <c r="D745" s="264"/>
    </row>
    <row r="746">
      <c r="D746" s="264"/>
    </row>
    <row r="747">
      <c r="D747" s="264"/>
    </row>
    <row r="748">
      <c r="D748" s="264"/>
    </row>
    <row r="749">
      <c r="D749" s="264"/>
    </row>
    <row r="750">
      <c r="D750" s="264"/>
    </row>
    <row r="751">
      <c r="D751" s="264"/>
    </row>
    <row r="752">
      <c r="D752" s="264"/>
    </row>
    <row r="753">
      <c r="D753" s="264"/>
    </row>
    <row r="754">
      <c r="D754" s="264"/>
    </row>
    <row r="755">
      <c r="D755" s="264"/>
    </row>
    <row r="756">
      <c r="D756" s="264"/>
    </row>
    <row r="757">
      <c r="D757" s="264"/>
    </row>
    <row r="758">
      <c r="D758" s="264"/>
    </row>
    <row r="759">
      <c r="D759" s="264"/>
    </row>
    <row r="760">
      <c r="D760" s="264"/>
    </row>
    <row r="761">
      <c r="D761" s="264"/>
    </row>
    <row r="762">
      <c r="D762" s="264"/>
    </row>
    <row r="763">
      <c r="D763" s="264"/>
    </row>
    <row r="764">
      <c r="D764" s="264"/>
    </row>
    <row r="765">
      <c r="D765" s="264"/>
    </row>
    <row r="766">
      <c r="D766" s="264"/>
    </row>
    <row r="767">
      <c r="D767" s="264"/>
    </row>
    <row r="768">
      <c r="D768" s="264"/>
    </row>
    <row r="769">
      <c r="D769" s="264"/>
    </row>
    <row r="770">
      <c r="D770" s="264"/>
    </row>
    <row r="771">
      <c r="D771" s="264"/>
    </row>
    <row r="772">
      <c r="D772" s="264"/>
    </row>
    <row r="773">
      <c r="D773" s="264"/>
    </row>
    <row r="774">
      <c r="D774" s="264"/>
    </row>
    <row r="775">
      <c r="D775" s="264"/>
    </row>
    <row r="776">
      <c r="D776" s="264"/>
    </row>
    <row r="777">
      <c r="D777" s="264"/>
    </row>
    <row r="778">
      <c r="D778" s="264"/>
    </row>
    <row r="779">
      <c r="D779" s="264"/>
    </row>
    <row r="780">
      <c r="D780" s="264"/>
    </row>
    <row r="781">
      <c r="D781" s="264"/>
    </row>
    <row r="782">
      <c r="D782" s="264"/>
    </row>
    <row r="783">
      <c r="D783" s="264"/>
    </row>
    <row r="784">
      <c r="D784" s="264"/>
    </row>
    <row r="785">
      <c r="D785" s="264"/>
    </row>
    <row r="786">
      <c r="D786" s="264"/>
    </row>
    <row r="787">
      <c r="D787" s="264"/>
    </row>
    <row r="788">
      <c r="D788" s="264"/>
    </row>
    <row r="789">
      <c r="D789" s="264"/>
    </row>
    <row r="790">
      <c r="D790" s="264"/>
    </row>
    <row r="791">
      <c r="D791" s="264"/>
    </row>
    <row r="792">
      <c r="D792" s="264"/>
    </row>
    <row r="793">
      <c r="D793" s="264"/>
    </row>
    <row r="794">
      <c r="D794" s="264"/>
    </row>
    <row r="795">
      <c r="D795" s="264"/>
    </row>
    <row r="796">
      <c r="D796" s="264"/>
    </row>
    <row r="797">
      <c r="D797" s="264"/>
    </row>
    <row r="798">
      <c r="D798" s="264"/>
    </row>
    <row r="799">
      <c r="D799" s="264"/>
    </row>
    <row r="800">
      <c r="D800" s="264"/>
    </row>
    <row r="801">
      <c r="D801" s="264"/>
    </row>
    <row r="802">
      <c r="D802" s="264"/>
    </row>
    <row r="803">
      <c r="D803" s="264"/>
    </row>
    <row r="804">
      <c r="D804" s="264"/>
    </row>
    <row r="805">
      <c r="D805" s="264"/>
    </row>
    <row r="806">
      <c r="D806" s="264"/>
    </row>
    <row r="807">
      <c r="D807" s="264"/>
    </row>
    <row r="808">
      <c r="D808" s="264"/>
    </row>
    <row r="809">
      <c r="D809" s="264"/>
    </row>
    <row r="810">
      <c r="D810" s="264"/>
    </row>
    <row r="811">
      <c r="D811" s="264"/>
    </row>
    <row r="812">
      <c r="D812" s="264"/>
    </row>
    <row r="813">
      <c r="D813" s="264"/>
    </row>
    <row r="814">
      <c r="D814" s="264"/>
    </row>
    <row r="815">
      <c r="D815" s="264"/>
    </row>
    <row r="816">
      <c r="D816" s="264"/>
    </row>
    <row r="817">
      <c r="D817" s="264"/>
    </row>
    <row r="818">
      <c r="D818" s="264"/>
    </row>
    <row r="819">
      <c r="D819" s="264"/>
    </row>
    <row r="820">
      <c r="D820" s="264"/>
    </row>
    <row r="821">
      <c r="D821" s="264"/>
    </row>
    <row r="822">
      <c r="D822" s="264"/>
    </row>
    <row r="823">
      <c r="D823" s="264"/>
    </row>
    <row r="824">
      <c r="D824" s="264"/>
    </row>
    <row r="825">
      <c r="D825" s="264"/>
    </row>
    <row r="826">
      <c r="D826" s="264"/>
    </row>
    <row r="827">
      <c r="D827" s="264"/>
    </row>
    <row r="828">
      <c r="D828" s="264"/>
    </row>
    <row r="829">
      <c r="D829" s="264"/>
    </row>
    <row r="830">
      <c r="D830" s="264"/>
    </row>
    <row r="831">
      <c r="D831" s="264"/>
    </row>
    <row r="832">
      <c r="D832" s="264"/>
    </row>
    <row r="833">
      <c r="D833" s="264"/>
    </row>
    <row r="834">
      <c r="D834" s="264"/>
    </row>
    <row r="835">
      <c r="D835" s="264"/>
    </row>
    <row r="836">
      <c r="D836" s="264"/>
    </row>
    <row r="837">
      <c r="D837" s="264"/>
    </row>
    <row r="838">
      <c r="D838" s="264"/>
    </row>
    <row r="839">
      <c r="D839" s="264"/>
    </row>
    <row r="840">
      <c r="D840" s="264"/>
    </row>
    <row r="841">
      <c r="D841" s="264"/>
    </row>
    <row r="842">
      <c r="D842" s="264"/>
    </row>
    <row r="843">
      <c r="D843" s="264"/>
    </row>
    <row r="844">
      <c r="D844" s="264"/>
    </row>
    <row r="845">
      <c r="D845" s="264"/>
    </row>
    <row r="846">
      <c r="D846" s="264"/>
    </row>
    <row r="847">
      <c r="D847" s="264"/>
    </row>
    <row r="848">
      <c r="D848" s="264"/>
    </row>
    <row r="849">
      <c r="D849" s="264"/>
    </row>
    <row r="850">
      <c r="D850" s="264"/>
    </row>
    <row r="851">
      <c r="D851" s="264"/>
    </row>
    <row r="852">
      <c r="D852" s="264"/>
    </row>
    <row r="853">
      <c r="D853" s="264"/>
    </row>
    <row r="854">
      <c r="D854" s="264"/>
    </row>
    <row r="855">
      <c r="D855" s="264"/>
    </row>
    <row r="856">
      <c r="D856" s="264"/>
    </row>
    <row r="857">
      <c r="D857" s="264"/>
    </row>
    <row r="858">
      <c r="D858" s="264"/>
    </row>
    <row r="859">
      <c r="D859" s="264"/>
    </row>
    <row r="860">
      <c r="D860" s="264"/>
    </row>
    <row r="861">
      <c r="D861" s="264"/>
    </row>
    <row r="862">
      <c r="D862" s="264"/>
    </row>
    <row r="863">
      <c r="D863" s="264"/>
    </row>
    <row r="864">
      <c r="D864" s="264"/>
    </row>
    <row r="865">
      <c r="D865" s="264"/>
    </row>
    <row r="866">
      <c r="D866" s="264"/>
    </row>
    <row r="867">
      <c r="D867" s="264"/>
    </row>
    <row r="868">
      <c r="D868" s="264"/>
    </row>
    <row r="869">
      <c r="D869" s="264"/>
    </row>
    <row r="870">
      <c r="D870" s="264"/>
    </row>
    <row r="871">
      <c r="D871" s="264"/>
    </row>
    <row r="872">
      <c r="D872" s="264"/>
    </row>
    <row r="873">
      <c r="D873" s="264"/>
    </row>
    <row r="874">
      <c r="D874" s="264"/>
    </row>
    <row r="875">
      <c r="D875" s="264"/>
    </row>
    <row r="876">
      <c r="D876" s="264"/>
    </row>
    <row r="877">
      <c r="D877" s="264"/>
    </row>
    <row r="878">
      <c r="D878" s="264"/>
    </row>
    <row r="879">
      <c r="D879" s="264"/>
    </row>
    <row r="880">
      <c r="D880" s="264"/>
    </row>
    <row r="881">
      <c r="D881" s="264"/>
    </row>
    <row r="882">
      <c r="D882" s="264"/>
    </row>
    <row r="883">
      <c r="D883" s="264"/>
    </row>
    <row r="884">
      <c r="D884" s="264"/>
    </row>
    <row r="885">
      <c r="D885" s="264"/>
    </row>
    <row r="886">
      <c r="D886" s="264"/>
    </row>
    <row r="887">
      <c r="D887" s="264"/>
    </row>
    <row r="888">
      <c r="D888" s="264"/>
    </row>
    <row r="889">
      <c r="D889" s="264"/>
    </row>
    <row r="890">
      <c r="D890" s="264"/>
    </row>
    <row r="891">
      <c r="D891" s="264"/>
    </row>
    <row r="892">
      <c r="D892" s="264"/>
    </row>
    <row r="893">
      <c r="D893" s="264"/>
    </row>
    <row r="894">
      <c r="D894" s="264"/>
    </row>
    <row r="895">
      <c r="D895" s="264"/>
    </row>
    <row r="896">
      <c r="D896" s="264"/>
    </row>
    <row r="897">
      <c r="D897" s="264"/>
    </row>
    <row r="898">
      <c r="D898" s="264"/>
    </row>
    <row r="899">
      <c r="D899" s="264"/>
    </row>
    <row r="900">
      <c r="D900" s="264"/>
    </row>
    <row r="901">
      <c r="D901" s="264"/>
    </row>
    <row r="902">
      <c r="D902" s="264"/>
    </row>
    <row r="903">
      <c r="D903" s="264"/>
    </row>
    <row r="904">
      <c r="D904" s="264"/>
    </row>
    <row r="905">
      <c r="D905" s="264"/>
    </row>
    <row r="906">
      <c r="D906" s="264"/>
    </row>
    <row r="907">
      <c r="D907" s="264"/>
    </row>
    <row r="908">
      <c r="D908" s="264"/>
    </row>
    <row r="909">
      <c r="D909" s="264"/>
    </row>
    <row r="910">
      <c r="D910" s="264"/>
    </row>
    <row r="911">
      <c r="D911" s="264"/>
    </row>
    <row r="912">
      <c r="D912" s="264"/>
    </row>
    <row r="913">
      <c r="D913" s="264"/>
    </row>
    <row r="914">
      <c r="D914" s="264"/>
    </row>
    <row r="915">
      <c r="D915" s="264"/>
    </row>
    <row r="916">
      <c r="D916" s="264"/>
    </row>
    <row r="917">
      <c r="D917" s="264"/>
    </row>
    <row r="918">
      <c r="D918" s="264"/>
    </row>
    <row r="919">
      <c r="D919" s="264"/>
    </row>
    <row r="920">
      <c r="D920" s="264"/>
    </row>
    <row r="921">
      <c r="D921" s="264"/>
    </row>
    <row r="922">
      <c r="D922" s="264"/>
    </row>
    <row r="923">
      <c r="D923" s="264"/>
    </row>
    <row r="924">
      <c r="D924" s="264"/>
    </row>
    <row r="925">
      <c r="D925" s="264"/>
    </row>
    <row r="926">
      <c r="D926" s="264"/>
    </row>
    <row r="927">
      <c r="D927" s="264"/>
    </row>
    <row r="928">
      <c r="D928" s="264"/>
    </row>
    <row r="929">
      <c r="D929" s="264"/>
    </row>
    <row r="930">
      <c r="D930" s="264"/>
    </row>
    <row r="931">
      <c r="D931" s="264"/>
    </row>
    <row r="932">
      <c r="D932" s="264"/>
    </row>
    <row r="933">
      <c r="D933" s="264"/>
    </row>
    <row r="934">
      <c r="D934" s="264"/>
    </row>
    <row r="935">
      <c r="D935" s="264"/>
    </row>
    <row r="936">
      <c r="D936" s="264"/>
    </row>
    <row r="937">
      <c r="D937" s="264"/>
    </row>
    <row r="938">
      <c r="D938" s="264"/>
    </row>
    <row r="939">
      <c r="D939" s="264"/>
    </row>
    <row r="940">
      <c r="D940" s="264"/>
    </row>
    <row r="941">
      <c r="D941" s="264"/>
    </row>
    <row r="942">
      <c r="D942" s="264"/>
    </row>
    <row r="943">
      <c r="D943" s="264"/>
    </row>
    <row r="944">
      <c r="D944" s="264"/>
    </row>
    <row r="945">
      <c r="D945" s="264"/>
    </row>
    <row r="946">
      <c r="D946" s="264"/>
    </row>
    <row r="947">
      <c r="D947" s="264"/>
    </row>
    <row r="948">
      <c r="D948" s="264"/>
    </row>
    <row r="949">
      <c r="D949" s="264"/>
    </row>
    <row r="950">
      <c r="D950" s="264"/>
    </row>
    <row r="951">
      <c r="D951" s="264"/>
    </row>
    <row r="952">
      <c r="D952" s="264"/>
    </row>
    <row r="953">
      <c r="D953" s="264"/>
    </row>
    <row r="954">
      <c r="D954" s="264"/>
    </row>
    <row r="955">
      <c r="D955" s="264"/>
    </row>
    <row r="956">
      <c r="D956" s="264"/>
    </row>
    <row r="957">
      <c r="D957" s="264"/>
    </row>
    <row r="958">
      <c r="D958" s="264"/>
    </row>
    <row r="959">
      <c r="D959" s="264"/>
    </row>
    <row r="960">
      <c r="D960" s="264"/>
    </row>
    <row r="961">
      <c r="D961" s="264"/>
    </row>
    <row r="962">
      <c r="D962" s="264"/>
    </row>
    <row r="963">
      <c r="D963" s="264"/>
    </row>
    <row r="964">
      <c r="D964" s="264"/>
    </row>
    <row r="965">
      <c r="D965" s="264"/>
    </row>
    <row r="966">
      <c r="D966" s="264"/>
    </row>
    <row r="967">
      <c r="D967" s="264"/>
    </row>
    <row r="968">
      <c r="D968" s="264"/>
    </row>
    <row r="969">
      <c r="D969" s="264"/>
    </row>
    <row r="970">
      <c r="D970" s="264"/>
    </row>
    <row r="971">
      <c r="D971" s="264"/>
    </row>
    <row r="972">
      <c r="D972" s="264"/>
    </row>
    <row r="973">
      <c r="D973" s="264"/>
    </row>
    <row r="974">
      <c r="D974" s="264"/>
    </row>
    <row r="975">
      <c r="D975" s="264"/>
    </row>
    <row r="976">
      <c r="D976" s="264"/>
    </row>
    <row r="977">
      <c r="D977" s="264"/>
    </row>
    <row r="978">
      <c r="D978" s="264"/>
    </row>
    <row r="979">
      <c r="D979" s="264"/>
    </row>
    <row r="980">
      <c r="D980" s="264"/>
    </row>
    <row r="981">
      <c r="D981" s="264"/>
    </row>
    <row r="982">
      <c r="D982" s="264"/>
    </row>
    <row r="983">
      <c r="D983" s="264"/>
    </row>
    <row r="984">
      <c r="D984" s="264"/>
    </row>
    <row r="985">
      <c r="D985" s="264"/>
    </row>
    <row r="986">
      <c r="D986" s="264"/>
    </row>
    <row r="987">
      <c r="D987" s="264"/>
    </row>
    <row r="988">
      <c r="D988" s="264"/>
    </row>
    <row r="989">
      <c r="D989" s="264"/>
    </row>
    <row r="990">
      <c r="D990" s="264"/>
    </row>
    <row r="991">
      <c r="D991" s="264"/>
    </row>
    <row r="992">
      <c r="D992" s="264"/>
    </row>
    <row r="993">
      <c r="D993" s="264"/>
    </row>
    <row r="994">
      <c r="D994" s="264"/>
    </row>
    <row r="995">
      <c r="D995" s="264"/>
    </row>
    <row r="996">
      <c r="D996" s="264"/>
    </row>
    <row r="997">
      <c r="D997" s="264"/>
    </row>
    <row r="998">
      <c r="D998" s="264"/>
    </row>
    <row r="999">
      <c r="D999" s="264"/>
    </row>
    <row r="1000">
      <c r="D1000" s="264"/>
    </row>
    <row r="1001">
      <c r="D1001" s="264"/>
    </row>
  </sheetData>
  <dataValidations>
    <dataValidation type="list" allowBlank="1" showErrorMessage="1" sqref="B2:B38">
      <formula1>"-,на всех,на одного"</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25"/>
    <col customWidth="1" min="2" max="2" width="9.0"/>
    <col customWidth="1" min="3" max="3" width="48.0"/>
    <col customWidth="1" min="4" max="4" width="21.13"/>
    <col customWidth="1" min="5" max="5" width="23.5"/>
    <col customWidth="1" min="6" max="6" width="9.88"/>
    <col customWidth="1" min="7" max="7" width="16.0"/>
    <col customWidth="1" min="8" max="8" width="11.13"/>
    <col customWidth="1" min="9" max="9" width="10.38"/>
    <col customWidth="1" min="10" max="10" width="24.38"/>
    <col customWidth="1" min="11" max="11" width="60.38"/>
    <col customWidth="1" min="12" max="12" width="43.88"/>
  </cols>
  <sheetData>
    <row r="1" ht="130.5" customHeight="1">
      <c r="A1" s="1" t="s">
        <v>0</v>
      </c>
      <c r="B1" s="1" t="s">
        <v>1</v>
      </c>
      <c r="C1" s="1" t="s">
        <v>2</v>
      </c>
      <c r="D1" s="1" t="s">
        <v>3</v>
      </c>
      <c r="E1" s="1" t="s">
        <v>4</v>
      </c>
      <c r="F1" s="2"/>
      <c r="G1" s="1" t="s">
        <v>5</v>
      </c>
      <c r="H1" s="1" t="s">
        <v>6</v>
      </c>
      <c r="I1" s="1" t="s">
        <v>7</v>
      </c>
      <c r="J1" s="1" t="s">
        <v>8</v>
      </c>
      <c r="K1" s="3">
        <f>SUM(J3:J105)</f>
        <v>105</v>
      </c>
      <c r="L1" s="3"/>
      <c r="M1" s="3"/>
      <c r="N1" s="3"/>
      <c r="O1" s="3"/>
      <c r="P1" s="3"/>
      <c r="Q1" s="3"/>
      <c r="R1" s="3"/>
      <c r="S1" s="3"/>
      <c r="T1" s="3"/>
      <c r="U1" s="3"/>
      <c r="V1" s="3"/>
      <c r="W1" s="3"/>
      <c r="X1" s="3"/>
      <c r="Y1" s="3"/>
      <c r="Z1" s="3"/>
    </row>
    <row r="2">
      <c r="A2" s="4" t="s">
        <v>9</v>
      </c>
      <c r="B2" s="5" t="s">
        <v>10</v>
      </c>
      <c r="C2" s="6" t="s">
        <v>11</v>
      </c>
      <c r="D2" s="6" t="s">
        <v>12</v>
      </c>
      <c r="E2" s="6" t="s">
        <v>13</v>
      </c>
      <c r="F2" s="5" t="s">
        <v>14</v>
      </c>
      <c r="G2" s="5" t="s">
        <v>15</v>
      </c>
      <c r="H2" s="5" t="s">
        <v>16</v>
      </c>
      <c r="I2" s="5" t="s">
        <v>17</v>
      </c>
      <c r="J2" s="7" t="s">
        <v>19</v>
      </c>
      <c r="K2" s="118" t="s">
        <v>454</v>
      </c>
      <c r="L2" s="118" t="s">
        <v>455</v>
      </c>
    </row>
    <row r="3">
      <c r="A3" s="8" t="s">
        <v>456</v>
      </c>
      <c r="B3" s="15" t="s">
        <v>20</v>
      </c>
      <c r="C3" s="267" t="s">
        <v>457</v>
      </c>
      <c r="D3" s="10" t="s">
        <v>221</v>
      </c>
      <c r="E3" s="11" t="s">
        <v>261</v>
      </c>
      <c r="F3" s="12"/>
      <c r="G3" s="12"/>
      <c r="H3" s="12"/>
      <c r="I3" s="12"/>
      <c r="J3" s="13"/>
      <c r="K3" s="118" t="s">
        <v>458</v>
      </c>
      <c r="L3" s="118" t="s">
        <v>459</v>
      </c>
    </row>
    <row r="4">
      <c r="A4" s="8" t="s">
        <v>456</v>
      </c>
      <c r="B4" s="15" t="s">
        <v>20</v>
      </c>
      <c r="C4" s="9" t="s">
        <v>460</v>
      </c>
      <c r="D4" s="10" t="s">
        <v>461</v>
      </c>
      <c r="E4" s="11" t="s">
        <v>462</v>
      </c>
      <c r="F4" s="12"/>
      <c r="G4" s="12"/>
      <c r="H4" s="12"/>
      <c r="I4" s="10">
        <v>8.0</v>
      </c>
      <c r="J4" s="268">
        <v>8.0</v>
      </c>
      <c r="K4" s="118" t="s">
        <v>463</v>
      </c>
      <c r="L4" s="3"/>
    </row>
    <row r="5">
      <c r="A5" s="8" t="s">
        <v>456</v>
      </c>
      <c r="B5" s="15" t="s">
        <v>20</v>
      </c>
      <c r="C5" s="9" t="s">
        <v>464</v>
      </c>
      <c r="D5" s="10" t="s">
        <v>461</v>
      </c>
      <c r="E5" s="11" t="s">
        <v>261</v>
      </c>
      <c r="F5" s="12"/>
      <c r="H5" s="12"/>
      <c r="I5" s="10">
        <v>4.0</v>
      </c>
      <c r="J5" s="268">
        <v>5.0</v>
      </c>
      <c r="K5" s="118" t="s">
        <v>465</v>
      </c>
      <c r="L5" s="3"/>
    </row>
    <row r="6">
      <c r="A6" s="8" t="s">
        <v>456</v>
      </c>
      <c r="B6" s="15" t="s">
        <v>20</v>
      </c>
      <c r="C6" s="9" t="s">
        <v>466</v>
      </c>
      <c r="D6" s="10" t="s">
        <v>461</v>
      </c>
      <c r="E6" s="11" t="s">
        <v>261</v>
      </c>
      <c r="F6" s="12"/>
      <c r="G6" s="12"/>
      <c r="H6" s="12"/>
      <c r="I6" s="12"/>
      <c r="J6" s="13"/>
      <c r="K6" s="118" t="s">
        <v>467</v>
      </c>
      <c r="L6" s="118" t="s">
        <v>468</v>
      </c>
    </row>
    <row r="7">
      <c r="A7" s="8" t="s">
        <v>456</v>
      </c>
      <c r="B7" s="15" t="s">
        <v>20</v>
      </c>
      <c r="C7" s="14" t="s">
        <v>469</v>
      </c>
      <c r="D7" s="10" t="s">
        <v>461</v>
      </c>
      <c r="E7" s="11" t="s">
        <v>261</v>
      </c>
      <c r="F7" s="12"/>
      <c r="G7" s="12"/>
      <c r="H7" s="12"/>
      <c r="I7" s="10">
        <v>0.5</v>
      </c>
      <c r="J7" s="268">
        <v>1.0</v>
      </c>
      <c r="K7" s="118" t="s">
        <v>470</v>
      </c>
      <c r="L7" s="3"/>
    </row>
    <row r="8">
      <c r="A8" s="8" t="s">
        <v>456</v>
      </c>
      <c r="B8" s="15" t="s">
        <v>20</v>
      </c>
      <c r="C8" s="9" t="s">
        <v>471</v>
      </c>
      <c r="D8" s="10" t="s">
        <v>472</v>
      </c>
      <c r="E8" s="11" t="s">
        <v>261</v>
      </c>
      <c r="F8" s="12"/>
      <c r="G8" s="12"/>
      <c r="H8" s="12"/>
      <c r="I8" s="10">
        <v>4.0</v>
      </c>
      <c r="J8" s="268">
        <v>5.0</v>
      </c>
      <c r="K8" s="118" t="s">
        <v>473</v>
      </c>
      <c r="L8" s="118" t="s">
        <v>474</v>
      </c>
    </row>
    <row r="9">
      <c r="A9" s="8" t="s">
        <v>456</v>
      </c>
      <c r="B9" s="15" t="s">
        <v>20</v>
      </c>
      <c r="C9" s="9" t="s">
        <v>475</v>
      </c>
      <c r="D9" s="10" t="s">
        <v>472</v>
      </c>
      <c r="E9" s="11" t="s">
        <v>262</v>
      </c>
      <c r="F9" s="12"/>
      <c r="G9" s="12"/>
      <c r="H9" s="12"/>
      <c r="I9" s="10">
        <v>1.5</v>
      </c>
      <c r="J9" s="268">
        <v>2.0</v>
      </c>
      <c r="K9" s="118" t="s">
        <v>476</v>
      </c>
      <c r="L9" s="3"/>
    </row>
    <row r="10">
      <c r="A10" s="8" t="s">
        <v>456</v>
      </c>
      <c r="B10" s="15" t="s">
        <v>20</v>
      </c>
      <c r="C10" s="9" t="s">
        <v>477</v>
      </c>
      <c r="D10" s="10" t="s">
        <v>461</v>
      </c>
      <c r="E10" s="11" t="s">
        <v>341</v>
      </c>
      <c r="F10" s="12"/>
      <c r="G10" s="12"/>
      <c r="H10" s="12"/>
      <c r="I10" s="10">
        <v>2.0</v>
      </c>
      <c r="J10" s="268">
        <v>2.0</v>
      </c>
      <c r="K10" s="118" t="s">
        <v>478</v>
      </c>
      <c r="L10" s="3"/>
    </row>
    <row r="11">
      <c r="A11" s="8" t="s">
        <v>456</v>
      </c>
      <c r="B11" s="15" t="s">
        <v>20</v>
      </c>
      <c r="C11" s="11" t="s">
        <v>479</v>
      </c>
      <c r="D11" s="10" t="s">
        <v>461</v>
      </c>
      <c r="E11" s="11" t="s">
        <v>261</v>
      </c>
      <c r="F11" s="12"/>
      <c r="G11" s="12"/>
      <c r="H11" s="12"/>
      <c r="I11" s="12"/>
      <c r="J11" s="13"/>
      <c r="K11" s="3"/>
      <c r="L11" s="3"/>
    </row>
    <row r="12">
      <c r="A12" s="8" t="s">
        <v>456</v>
      </c>
      <c r="B12" s="15" t="s">
        <v>20</v>
      </c>
      <c r="C12" s="267" t="s">
        <v>480</v>
      </c>
      <c r="D12" s="10" t="s">
        <v>221</v>
      </c>
      <c r="E12" s="11" t="s">
        <v>277</v>
      </c>
      <c r="F12" s="12"/>
      <c r="G12" s="12"/>
      <c r="H12" s="12"/>
      <c r="I12" s="12"/>
      <c r="J12" s="13"/>
      <c r="K12" s="3"/>
      <c r="L12" s="3"/>
    </row>
    <row r="13">
      <c r="A13" s="8" t="s">
        <v>456</v>
      </c>
      <c r="B13" s="15" t="s">
        <v>20</v>
      </c>
      <c r="C13" s="267" t="s">
        <v>481</v>
      </c>
      <c r="D13" s="10" t="s">
        <v>461</v>
      </c>
      <c r="E13" s="11" t="s">
        <v>482</v>
      </c>
      <c r="F13" s="12"/>
      <c r="G13" s="12"/>
      <c r="H13" s="12"/>
      <c r="I13" s="12"/>
      <c r="J13" s="13"/>
      <c r="L13" s="3"/>
    </row>
    <row r="14">
      <c r="A14" s="8" t="s">
        <v>456</v>
      </c>
      <c r="B14" s="15" t="s">
        <v>20</v>
      </c>
      <c r="C14" s="9" t="s">
        <v>483</v>
      </c>
      <c r="D14" s="10" t="s">
        <v>472</v>
      </c>
      <c r="E14" s="11" t="s">
        <v>482</v>
      </c>
      <c r="F14" s="12"/>
      <c r="G14" s="12"/>
      <c r="H14" s="12"/>
      <c r="I14" s="10">
        <v>30.0</v>
      </c>
      <c r="J14" s="268">
        <v>32.0</v>
      </c>
      <c r="K14" s="118" t="s">
        <v>484</v>
      </c>
      <c r="L14" s="3"/>
    </row>
    <row r="15">
      <c r="A15" s="8" t="s">
        <v>456</v>
      </c>
      <c r="B15" s="15" t="s">
        <v>20</v>
      </c>
      <c r="C15" s="9" t="s">
        <v>485</v>
      </c>
      <c r="D15" s="10" t="s">
        <v>472</v>
      </c>
      <c r="E15" s="11" t="s">
        <v>482</v>
      </c>
      <c r="F15" s="12"/>
      <c r="G15" s="12"/>
      <c r="H15" s="12"/>
      <c r="I15" s="10">
        <v>2.0</v>
      </c>
      <c r="J15" s="268">
        <v>2.0</v>
      </c>
      <c r="K15" s="118" t="s">
        <v>486</v>
      </c>
      <c r="L15" s="3"/>
    </row>
    <row r="16">
      <c r="A16" s="8" t="s">
        <v>456</v>
      </c>
      <c r="B16" s="15" t="s">
        <v>20</v>
      </c>
      <c r="C16" s="9" t="s">
        <v>487</v>
      </c>
      <c r="D16" s="10" t="s">
        <v>472</v>
      </c>
      <c r="E16" s="11" t="s">
        <v>482</v>
      </c>
      <c r="F16" s="12"/>
      <c r="G16" s="12"/>
      <c r="H16" s="12"/>
      <c r="I16" s="10">
        <v>11.0</v>
      </c>
      <c r="J16" s="268">
        <v>13.0</v>
      </c>
      <c r="K16" s="118" t="s">
        <v>488</v>
      </c>
      <c r="L16" s="3"/>
    </row>
    <row r="17">
      <c r="A17" s="8" t="s">
        <v>456</v>
      </c>
      <c r="B17" s="15" t="s">
        <v>20</v>
      </c>
      <c r="C17" s="9" t="s">
        <v>489</v>
      </c>
      <c r="D17" s="10" t="s">
        <v>461</v>
      </c>
      <c r="E17" s="11" t="s">
        <v>482</v>
      </c>
      <c r="F17" s="12"/>
      <c r="G17" s="12"/>
      <c r="H17" s="12"/>
      <c r="I17" s="12"/>
      <c r="J17" s="13"/>
      <c r="K17" s="118"/>
      <c r="L17" s="3"/>
    </row>
    <row r="18">
      <c r="A18" s="8" t="s">
        <v>456</v>
      </c>
      <c r="B18" s="15" t="s">
        <v>20</v>
      </c>
      <c r="C18" s="9" t="s">
        <v>490</v>
      </c>
      <c r="D18" s="10" t="s">
        <v>472</v>
      </c>
      <c r="E18" s="11" t="s">
        <v>482</v>
      </c>
      <c r="F18" s="12"/>
      <c r="G18" s="12"/>
      <c r="H18" s="12"/>
      <c r="I18" s="10">
        <v>1.0</v>
      </c>
      <c r="J18" s="268">
        <v>1.0</v>
      </c>
      <c r="K18" s="118"/>
      <c r="L18" s="3"/>
    </row>
    <row r="19">
      <c r="A19" s="8" t="s">
        <v>456</v>
      </c>
      <c r="B19" s="15" t="s">
        <v>20</v>
      </c>
      <c r="C19" s="9" t="s">
        <v>491</v>
      </c>
      <c r="D19" s="10" t="s">
        <v>472</v>
      </c>
      <c r="E19" s="11" t="s">
        <v>277</v>
      </c>
      <c r="F19" s="12"/>
      <c r="G19" s="12"/>
      <c r="H19" s="12"/>
      <c r="I19" s="10">
        <v>0.5</v>
      </c>
      <c r="J19" s="268">
        <v>1.0</v>
      </c>
      <c r="K19" s="3"/>
      <c r="L19" s="3"/>
    </row>
    <row r="20">
      <c r="A20" s="8" t="s">
        <v>456</v>
      </c>
      <c r="B20" s="15" t="s">
        <v>20</v>
      </c>
      <c r="C20" s="9" t="s">
        <v>492</v>
      </c>
      <c r="D20" s="10" t="s">
        <v>461</v>
      </c>
      <c r="E20" s="11"/>
      <c r="F20" s="12"/>
      <c r="G20" s="12"/>
      <c r="H20" s="12"/>
      <c r="I20" s="10">
        <v>1.5</v>
      </c>
      <c r="J20" s="268">
        <v>2.0</v>
      </c>
      <c r="K20" s="118" t="s">
        <v>493</v>
      </c>
      <c r="L20" s="3"/>
    </row>
    <row r="21">
      <c r="A21" s="8" t="s">
        <v>456</v>
      </c>
      <c r="B21" s="15" t="s">
        <v>20</v>
      </c>
      <c r="C21" s="9" t="s">
        <v>494</v>
      </c>
      <c r="D21" s="10" t="s">
        <v>461</v>
      </c>
      <c r="E21" s="11" t="s">
        <v>462</v>
      </c>
      <c r="F21" s="12"/>
      <c r="G21" s="12"/>
      <c r="H21" s="12"/>
      <c r="I21" s="12"/>
      <c r="J21" s="13"/>
      <c r="K21" s="3"/>
      <c r="L21" s="3"/>
    </row>
    <row r="22">
      <c r="A22" s="8" t="s">
        <v>456</v>
      </c>
      <c r="B22" s="15" t="s">
        <v>20</v>
      </c>
      <c r="C22" s="118" t="s">
        <v>495</v>
      </c>
      <c r="D22" s="10" t="s">
        <v>461</v>
      </c>
      <c r="E22" s="11" t="s">
        <v>262</v>
      </c>
      <c r="F22" s="12"/>
      <c r="G22" s="12"/>
      <c r="H22" s="12"/>
      <c r="I22" s="12"/>
      <c r="J22" s="13"/>
      <c r="K22" s="118" t="s">
        <v>496</v>
      </c>
      <c r="L22" s="3"/>
    </row>
    <row r="23">
      <c r="A23" s="269" t="s">
        <v>456</v>
      </c>
      <c r="B23" s="270" t="s">
        <v>20</v>
      </c>
      <c r="C23" s="267" t="s">
        <v>497</v>
      </c>
      <c r="D23" s="271" t="s">
        <v>472</v>
      </c>
      <c r="E23" s="272" t="s">
        <v>261</v>
      </c>
      <c r="F23" s="273"/>
      <c r="G23" s="273"/>
      <c r="H23" s="273"/>
      <c r="I23" s="271">
        <v>4.0</v>
      </c>
      <c r="J23" s="274">
        <v>5.0</v>
      </c>
      <c r="K23" s="275" t="s">
        <v>498</v>
      </c>
      <c r="L23" s="3"/>
    </row>
    <row r="24">
      <c r="A24" s="8" t="s">
        <v>456</v>
      </c>
      <c r="B24" s="15" t="s">
        <v>20</v>
      </c>
      <c r="C24" s="9" t="s">
        <v>499</v>
      </c>
      <c r="D24" s="10" t="s">
        <v>461</v>
      </c>
      <c r="E24" s="11" t="s">
        <v>341</v>
      </c>
      <c r="F24" s="12"/>
      <c r="G24" s="12"/>
      <c r="H24" s="12"/>
      <c r="I24" s="12"/>
      <c r="J24" s="13"/>
      <c r="K24" s="118"/>
      <c r="L24" s="3"/>
    </row>
    <row r="25">
      <c r="A25" s="8" t="s">
        <v>456</v>
      </c>
      <c r="B25" s="15" t="s">
        <v>20</v>
      </c>
      <c r="C25" s="9" t="s">
        <v>500</v>
      </c>
      <c r="D25" s="10" t="s">
        <v>461</v>
      </c>
      <c r="E25" s="11" t="s">
        <v>341</v>
      </c>
      <c r="F25" s="12"/>
      <c r="G25" s="12"/>
      <c r="H25" s="12"/>
      <c r="I25" s="12"/>
      <c r="J25" s="13"/>
      <c r="K25" s="3"/>
      <c r="L25" s="3"/>
    </row>
    <row r="26">
      <c r="A26" s="269" t="s">
        <v>456</v>
      </c>
      <c r="B26" s="270" t="s">
        <v>20</v>
      </c>
      <c r="C26" s="267" t="s">
        <v>501</v>
      </c>
      <c r="D26" s="271" t="s">
        <v>461</v>
      </c>
      <c r="E26" s="272"/>
      <c r="F26" s="273"/>
      <c r="G26" s="273"/>
      <c r="H26" s="273"/>
      <c r="I26" s="271">
        <v>9.0</v>
      </c>
      <c r="J26" s="274">
        <v>13.0</v>
      </c>
      <c r="K26" s="275" t="s">
        <v>502</v>
      </c>
      <c r="L26" s="3"/>
    </row>
    <row r="27">
      <c r="A27" s="8" t="s">
        <v>456</v>
      </c>
      <c r="B27" s="15" t="s">
        <v>20</v>
      </c>
      <c r="C27" s="9" t="s">
        <v>503</v>
      </c>
      <c r="D27" s="10" t="s">
        <v>461</v>
      </c>
      <c r="E27" s="11" t="s">
        <v>482</v>
      </c>
      <c r="F27" s="12"/>
      <c r="G27" s="12"/>
      <c r="H27" s="12"/>
      <c r="I27" s="12"/>
      <c r="J27" s="13"/>
      <c r="K27" s="3"/>
      <c r="L27" s="3"/>
    </row>
    <row r="28">
      <c r="A28" s="8" t="s">
        <v>456</v>
      </c>
      <c r="B28" s="15" t="s">
        <v>20</v>
      </c>
      <c r="C28" s="9" t="s">
        <v>504</v>
      </c>
      <c r="D28" s="10" t="s">
        <v>461</v>
      </c>
      <c r="E28" s="11" t="s">
        <v>341</v>
      </c>
      <c r="F28" s="12"/>
      <c r="G28" s="12"/>
      <c r="H28" s="12"/>
      <c r="I28" s="12"/>
      <c r="J28" s="13"/>
      <c r="K28" s="3"/>
      <c r="L28" s="3"/>
    </row>
    <row r="29">
      <c r="A29" s="8" t="s">
        <v>456</v>
      </c>
      <c r="B29" s="15" t="s">
        <v>20</v>
      </c>
      <c r="C29" s="11" t="s">
        <v>505</v>
      </c>
      <c r="D29" s="10" t="s">
        <v>461</v>
      </c>
      <c r="E29" s="11" t="s">
        <v>262</v>
      </c>
      <c r="F29" s="12"/>
      <c r="G29" s="12"/>
      <c r="H29" s="12"/>
      <c r="I29" s="10">
        <v>3.0</v>
      </c>
      <c r="J29" s="268">
        <v>3.0</v>
      </c>
      <c r="K29" s="118" t="s">
        <v>506</v>
      </c>
      <c r="L29" s="3"/>
    </row>
    <row r="30">
      <c r="A30" s="8" t="s">
        <v>456</v>
      </c>
      <c r="B30" s="15" t="s">
        <v>20</v>
      </c>
      <c r="C30" s="276" t="s">
        <v>507</v>
      </c>
      <c r="D30" s="10" t="s">
        <v>461</v>
      </c>
      <c r="E30" s="11" t="s">
        <v>262</v>
      </c>
      <c r="F30" s="12"/>
      <c r="G30" s="12"/>
      <c r="H30" s="12"/>
      <c r="I30" s="10">
        <v>4.0</v>
      </c>
      <c r="J30" s="268">
        <v>5.0</v>
      </c>
      <c r="K30" s="118" t="s">
        <v>508</v>
      </c>
      <c r="L30" s="3"/>
    </row>
    <row r="31">
      <c r="A31" s="8" t="s">
        <v>456</v>
      </c>
      <c r="B31" s="15" t="s">
        <v>20</v>
      </c>
      <c r="C31" s="276" t="s">
        <v>509</v>
      </c>
      <c r="D31" s="10" t="s">
        <v>472</v>
      </c>
      <c r="E31" s="11" t="s">
        <v>262</v>
      </c>
      <c r="F31" s="12"/>
      <c r="G31" s="12"/>
      <c r="H31" s="12"/>
      <c r="I31" s="10">
        <v>0.5</v>
      </c>
      <c r="J31" s="268">
        <v>1.0</v>
      </c>
      <c r="L31" s="3"/>
    </row>
    <row r="32">
      <c r="A32" s="8" t="s">
        <v>456</v>
      </c>
      <c r="B32" s="15" t="s">
        <v>20</v>
      </c>
      <c r="C32" s="276" t="s">
        <v>510</v>
      </c>
      <c r="D32" s="10" t="s">
        <v>472</v>
      </c>
      <c r="E32" s="11" t="s">
        <v>262</v>
      </c>
      <c r="F32" s="12"/>
      <c r="G32" s="12"/>
      <c r="H32" s="12"/>
      <c r="I32" s="10">
        <v>1.0</v>
      </c>
      <c r="J32" s="268">
        <v>1.0</v>
      </c>
      <c r="K32" s="118" t="s">
        <v>511</v>
      </c>
      <c r="L32" s="3"/>
    </row>
    <row r="33">
      <c r="A33" s="8" t="s">
        <v>456</v>
      </c>
      <c r="B33" s="15" t="s">
        <v>20</v>
      </c>
      <c r="C33" s="11" t="s">
        <v>512</v>
      </c>
      <c r="D33" s="10" t="s">
        <v>211</v>
      </c>
      <c r="E33" s="11" t="s">
        <v>277</v>
      </c>
      <c r="F33" s="12"/>
      <c r="G33" s="12"/>
      <c r="H33" s="12"/>
      <c r="I33" s="10">
        <v>1.0</v>
      </c>
      <c r="J33" s="268">
        <v>1.0</v>
      </c>
      <c r="K33" s="275" t="s">
        <v>513</v>
      </c>
      <c r="L33" s="3"/>
    </row>
    <row r="34">
      <c r="A34" s="8" t="s">
        <v>456</v>
      </c>
      <c r="B34" s="15" t="s">
        <v>20</v>
      </c>
      <c r="C34" s="11" t="s">
        <v>514</v>
      </c>
      <c r="D34" s="10" t="s">
        <v>461</v>
      </c>
      <c r="E34" s="11" t="s">
        <v>261</v>
      </c>
      <c r="F34" s="12"/>
      <c r="G34" s="12"/>
      <c r="H34" s="12"/>
      <c r="I34" s="12"/>
      <c r="J34" s="13"/>
      <c r="K34" s="3"/>
      <c r="L34" s="3"/>
    </row>
    <row r="35">
      <c r="A35" s="269" t="s">
        <v>456</v>
      </c>
      <c r="B35" s="270" t="s">
        <v>20</v>
      </c>
      <c r="C35" s="277" t="s">
        <v>515</v>
      </c>
      <c r="D35" s="271" t="s">
        <v>472</v>
      </c>
      <c r="E35" s="272" t="s">
        <v>261</v>
      </c>
      <c r="F35" s="273"/>
      <c r="G35" s="273"/>
      <c r="H35" s="273"/>
      <c r="I35" s="273"/>
      <c r="J35" s="278"/>
      <c r="K35" s="275" t="s">
        <v>516</v>
      </c>
      <c r="L35" s="3"/>
    </row>
    <row r="36">
      <c r="A36" s="269" t="s">
        <v>456</v>
      </c>
      <c r="B36" s="270" t="s">
        <v>20</v>
      </c>
      <c r="C36" s="272" t="s">
        <v>517</v>
      </c>
      <c r="D36" s="271" t="s">
        <v>472</v>
      </c>
      <c r="E36" s="272" t="s">
        <v>262</v>
      </c>
      <c r="F36" s="273"/>
      <c r="G36" s="273"/>
      <c r="H36" s="273"/>
      <c r="I36" s="273"/>
      <c r="J36" s="278"/>
      <c r="K36" s="275" t="s">
        <v>516</v>
      </c>
      <c r="L36" s="3"/>
    </row>
    <row r="37">
      <c r="A37" s="269" t="s">
        <v>456</v>
      </c>
      <c r="B37" s="270" t="s">
        <v>20</v>
      </c>
      <c r="C37" s="272" t="s">
        <v>518</v>
      </c>
      <c r="D37" s="271" t="s">
        <v>472</v>
      </c>
      <c r="E37" s="272" t="s">
        <v>262</v>
      </c>
      <c r="F37" s="273"/>
      <c r="G37" s="273"/>
      <c r="H37" s="273"/>
      <c r="I37" s="273"/>
      <c r="J37" s="278"/>
      <c r="K37" s="275" t="s">
        <v>519</v>
      </c>
      <c r="L37" s="3"/>
    </row>
    <row r="38">
      <c r="A38" s="269" t="s">
        <v>456</v>
      </c>
      <c r="B38" s="270" t="s">
        <v>20</v>
      </c>
      <c r="C38" s="272" t="s">
        <v>520</v>
      </c>
      <c r="D38" s="271" t="s">
        <v>472</v>
      </c>
      <c r="E38" s="272" t="s">
        <v>482</v>
      </c>
      <c r="F38" s="273"/>
      <c r="G38" s="273"/>
      <c r="H38" s="273"/>
      <c r="I38" s="271">
        <v>1.0</v>
      </c>
      <c r="J38" s="274">
        <v>1.0</v>
      </c>
      <c r="K38" s="279"/>
      <c r="L38" s="3"/>
    </row>
    <row r="39">
      <c r="A39" s="8" t="s">
        <v>456</v>
      </c>
      <c r="B39" s="15" t="s">
        <v>20</v>
      </c>
      <c r="C39" s="11" t="s">
        <v>521</v>
      </c>
      <c r="D39" s="10" t="s">
        <v>461</v>
      </c>
      <c r="E39" s="11" t="s">
        <v>277</v>
      </c>
      <c r="F39" s="12"/>
      <c r="G39" s="12"/>
      <c r="H39" s="12"/>
      <c r="I39" s="12"/>
      <c r="J39" s="13"/>
      <c r="K39" s="3"/>
      <c r="L39" s="3"/>
    </row>
    <row r="40">
      <c r="A40" s="8" t="s">
        <v>456</v>
      </c>
      <c r="B40" s="15" t="s">
        <v>20</v>
      </c>
      <c r="C40" s="11" t="s">
        <v>522</v>
      </c>
      <c r="D40" s="10" t="s">
        <v>472</v>
      </c>
      <c r="E40" s="11" t="s">
        <v>262</v>
      </c>
      <c r="F40" s="12"/>
      <c r="G40" s="12"/>
      <c r="H40" s="12"/>
      <c r="I40" s="12"/>
      <c r="J40" s="13"/>
      <c r="K40" s="3"/>
      <c r="L40" s="3"/>
    </row>
    <row r="41">
      <c r="A41" s="8" t="s">
        <v>456</v>
      </c>
      <c r="B41" s="15" t="s">
        <v>20</v>
      </c>
      <c r="C41" s="11" t="s">
        <v>523</v>
      </c>
      <c r="D41" s="10" t="s">
        <v>461</v>
      </c>
      <c r="E41" s="11" t="s">
        <v>482</v>
      </c>
      <c r="F41" s="12"/>
      <c r="G41" s="12"/>
      <c r="H41" s="12"/>
      <c r="I41" s="12"/>
      <c r="J41" s="13"/>
      <c r="K41" s="118"/>
      <c r="L41" s="3"/>
    </row>
    <row r="42">
      <c r="A42" s="8" t="s">
        <v>456</v>
      </c>
      <c r="B42" s="15" t="s">
        <v>20</v>
      </c>
      <c r="C42" s="11" t="s">
        <v>524</v>
      </c>
      <c r="D42" s="10" t="s">
        <v>461</v>
      </c>
      <c r="E42" s="11" t="s">
        <v>482</v>
      </c>
      <c r="F42" s="12"/>
      <c r="G42" s="12"/>
      <c r="H42" s="12"/>
      <c r="I42" s="10">
        <v>0.5</v>
      </c>
      <c r="J42" s="268">
        <v>1.0</v>
      </c>
      <c r="K42" s="3"/>
      <c r="L42" s="3"/>
    </row>
    <row r="43">
      <c r="A43" s="8" t="s">
        <v>456</v>
      </c>
      <c r="B43" s="15" t="s">
        <v>20</v>
      </c>
      <c r="C43" s="11" t="s">
        <v>525</v>
      </c>
      <c r="D43" s="10" t="s">
        <v>472</v>
      </c>
      <c r="E43" s="11" t="s">
        <v>482</v>
      </c>
      <c r="F43" s="12"/>
      <c r="G43" s="12"/>
      <c r="H43" s="12"/>
      <c r="I43" s="10"/>
      <c r="J43" s="268"/>
      <c r="K43" s="118" t="s">
        <v>526</v>
      </c>
      <c r="L43" s="3"/>
    </row>
    <row r="44">
      <c r="A44" s="8" t="s">
        <v>456</v>
      </c>
      <c r="B44" s="15" t="s">
        <v>20</v>
      </c>
      <c r="C44" s="18" t="s">
        <v>527</v>
      </c>
      <c r="D44" s="10" t="s">
        <v>461</v>
      </c>
      <c r="E44" s="11" t="s">
        <v>482</v>
      </c>
      <c r="F44" s="12"/>
      <c r="G44" s="12"/>
      <c r="H44" s="12"/>
      <c r="I44" s="12"/>
      <c r="J44" s="13"/>
      <c r="K44" s="118" t="s">
        <v>528</v>
      </c>
      <c r="L44" s="3"/>
    </row>
    <row r="45">
      <c r="A45" s="8"/>
      <c r="B45" s="15"/>
      <c r="C45" s="272" t="s">
        <v>529</v>
      </c>
      <c r="D45" s="10" t="s">
        <v>530</v>
      </c>
      <c r="E45" s="11" t="s">
        <v>261</v>
      </c>
      <c r="F45" s="12"/>
      <c r="G45" s="12"/>
      <c r="H45" s="12"/>
      <c r="I45" s="12"/>
      <c r="J45" s="13"/>
      <c r="K45" s="3"/>
      <c r="L45" s="3"/>
    </row>
    <row r="46">
      <c r="A46" s="8" t="s">
        <v>456</v>
      </c>
      <c r="B46" s="15" t="s">
        <v>20</v>
      </c>
      <c r="C46" s="272" t="s">
        <v>531</v>
      </c>
      <c r="D46" s="10" t="s">
        <v>530</v>
      </c>
      <c r="E46" s="11" t="s">
        <v>261</v>
      </c>
      <c r="F46" s="12"/>
      <c r="G46" s="12"/>
      <c r="H46" s="12"/>
      <c r="I46" s="12"/>
      <c r="J46" s="13"/>
      <c r="K46" s="3"/>
      <c r="L46" s="3"/>
    </row>
    <row r="47">
      <c r="A47" s="20" t="s">
        <v>456</v>
      </c>
      <c r="B47" s="21" t="s">
        <v>532</v>
      </c>
      <c r="C47" s="22" t="s">
        <v>533</v>
      </c>
      <c r="D47" s="10" t="s">
        <v>461</v>
      </c>
      <c r="E47" s="11" t="s">
        <v>534</v>
      </c>
      <c r="F47" s="12"/>
      <c r="G47" s="12"/>
      <c r="H47" s="12"/>
      <c r="I47" s="12"/>
      <c r="J47" s="13"/>
      <c r="K47" s="3"/>
      <c r="L47" s="3"/>
    </row>
    <row r="48">
      <c r="A48" s="20" t="s">
        <v>456</v>
      </c>
      <c r="B48" s="21" t="s">
        <v>532</v>
      </c>
      <c r="C48" s="22" t="s">
        <v>535</v>
      </c>
      <c r="D48" s="10" t="s">
        <v>461</v>
      </c>
      <c r="E48" s="11" t="s">
        <v>534</v>
      </c>
      <c r="F48" s="12"/>
      <c r="G48" s="12"/>
      <c r="H48" s="12"/>
      <c r="I48" s="12"/>
      <c r="J48" s="13"/>
      <c r="K48" s="3"/>
      <c r="L48" s="3"/>
    </row>
    <row r="49">
      <c r="A49" s="20" t="s">
        <v>456</v>
      </c>
      <c r="B49" s="21" t="s">
        <v>532</v>
      </c>
      <c r="C49" s="22" t="s">
        <v>536</v>
      </c>
      <c r="D49" s="10" t="s">
        <v>461</v>
      </c>
      <c r="E49" s="11" t="s">
        <v>534</v>
      </c>
      <c r="F49" s="12"/>
      <c r="G49" s="12"/>
      <c r="H49" s="12"/>
      <c r="I49" s="12"/>
      <c r="J49" s="13"/>
      <c r="K49" s="3"/>
      <c r="L49" s="3"/>
    </row>
    <row r="50">
      <c r="A50" s="20" t="s">
        <v>456</v>
      </c>
      <c r="B50" s="21" t="s">
        <v>532</v>
      </c>
      <c r="C50" s="22" t="s">
        <v>537</v>
      </c>
      <c r="D50" s="10" t="s">
        <v>461</v>
      </c>
      <c r="E50" s="11" t="s">
        <v>482</v>
      </c>
      <c r="F50" s="12"/>
      <c r="G50" s="12"/>
      <c r="H50" s="12"/>
      <c r="I50" s="12"/>
      <c r="J50" s="13"/>
      <c r="K50" s="3"/>
      <c r="L50" s="3"/>
    </row>
    <row r="51">
      <c r="A51" s="20" t="s">
        <v>456</v>
      </c>
      <c r="B51" s="21" t="s">
        <v>532</v>
      </c>
      <c r="C51" s="22" t="s">
        <v>538</v>
      </c>
      <c r="D51" s="10" t="s">
        <v>461</v>
      </c>
      <c r="E51" s="11" t="s">
        <v>534</v>
      </c>
      <c r="F51" s="12"/>
      <c r="G51" s="12"/>
      <c r="H51" s="12"/>
      <c r="I51" s="12"/>
      <c r="J51" s="13"/>
      <c r="K51" s="3"/>
      <c r="L51" s="3"/>
    </row>
    <row r="52">
      <c r="A52" s="20" t="s">
        <v>456</v>
      </c>
      <c r="B52" s="21" t="s">
        <v>532</v>
      </c>
      <c r="C52" s="22" t="s">
        <v>539</v>
      </c>
      <c r="D52" s="10" t="s">
        <v>461</v>
      </c>
      <c r="E52" s="11" t="s">
        <v>534</v>
      </c>
      <c r="F52" s="12"/>
      <c r="G52" s="12"/>
      <c r="H52" s="12"/>
      <c r="I52" s="12"/>
      <c r="J52" s="13"/>
      <c r="K52" s="3"/>
      <c r="L52" s="3"/>
    </row>
    <row r="53">
      <c r="A53" s="20" t="s">
        <v>456</v>
      </c>
      <c r="B53" s="21" t="s">
        <v>532</v>
      </c>
      <c r="C53" s="22" t="s">
        <v>540</v>
      </c>
      <c r="D53" s="10" t="s">
        <v>472</v>
      </c>
      <c r="E53" s="11" t="s">
        <v>482</v>
      </c>
      <c r="F53" s="12"/>
      <c r="G53" s="12"/>
      <c r="H53" s="12"/>
      <c r="I53" s="12"/>
      <c r="J53" s="13"/>
      <c r="K53" s="3"/>
      <c r="L53" s="3"/>
    </row>
    <row r="54">
      <c r="A54" s="20" t="s">
        <v>456</v>
      </c>
      <c r="B54" s="21" t="s">
        <v>532</v>
      </c>
      <c r="C54" s="22" t="s">
        <v>541</v>
      </c>
      <c r="D54" s="10" t="s">
        <v>461</v>
      </c>
      <c r="E54" s="11" t="s">
        <v>341</v>
      </c>
      <c r="F54" s="12"/>
      <c r="G54" s="12"/>
      <c r="H54" s="12"/>
      <c r="I54" s="12"/>
      <c r="J54" s="13"/>
      <c r="K54" s="3"/>
      <c r="L54" s="3"/>
    </row>
    <row r="55">
      <c r="A55" s="23" t="s">
        <v>456</v>
      </c>
      <c r="B55" s="24" t="s">
        <v>542</v>
      </c>
      <c r="C55" s="25" t="s">
        <v>543</v>
      </c>
      <c r="D55" s="10" t="s">
        <v>461</v>
      </c>
      <c r="E55" s="11" t="s">
        <v>341</v>
      </c>
      <c r="F55" s="12"/>
      <c r="G55" s="12"/>
      <c r="H55" s="12"/>
      <c r="I55" s="12"/>
      <c r="J55" s="13"/>
      <c r="K55" s="3"/>
      <c r="L55" s="3"/>
    </row>
    <row r="56">
      <c r="A56" s="23" t="s">
        <v>456</v>
      </c>
      <c r="B56" s="24" t="s">
        <v>542</v>
      </c>
      <c r="C56" s="136" t="s">
        <v>544</v>
      </c>
      <c r="D56" s="10" t="s">
        <v>461</v>
      </c>
      <c r="E56" s="11" t="s">
        <v>534</v>
      </c>
      <c r="F56" s="12"/>
      <c r="G56" s="12"/>
      <c r="H56" s="12"/>
      <c r="I56" s="12"/>
      <c r="J56" s="13"/>
      <c r="K56" s="3"/>
      <c r="L56" s="3"/>
    </row>
    <row r="57">
      <c r="A57" s="23" t="s">
        <v>456</v>
      </c>
      <c r="B57" s="24" t="s">
        <v>542</v>
      </c>
      <c r="C57" s="25" t="s">
        <v>545</v>
      </c>
      <c r="D57" s="10" t="s">
        <v>461</v>
      </c>
      <c r="E57" s="11" t="s">
        <v>534</v>
      </c>
      <c r="F57" s="12"/>
      <c r="G57" s="12"/>
      <c r="H57" s="12"/>
      <c r="I57" s="12"/>
      <c r="J57" s="13"/>
      <c r="K57" s="3"/>
      <c r="L57" s="3"/>
    </row>
    <row r="58">
      <c r="A58" s="27" t="s">
        <v>456</v>
      </c>
      <c r="B58" s="28" t="s">
        <v>546</v>
      </c>
      <c r="C58" s="29" t="s">
        <v>547</v>
      </c>
      <c r="D58" s="10" t="s">
        <v>461</v>
      </c>
      <c r="E58" s="11" t="s">
        <v>462</v>
      </c>
      <c r="F58" s="12"/>
      <c r="G58" s="12"/>
      <c r="H58" s="12"/>
      <c r="I58" s="12"/>
      <c r="J58" s="13"/>
      <c r="K58" s="3"/>
      <c r="L58" s="3"/>
    </row>
    <row r="59">
      <c r="A59" s="27" t="s">
        <v>456</v>
      </c>
      <c r="B59" s="28" t="s">
        <v>546</v>
      </c>
      <c r="C59" s="29" t="s">
        <v>548</v>
      </c>
      <c r="D59" s="10" t="s">
        <v>461</v>
      </c>
      <c r="E59" s="11" t="s">
        <v>462</v>
      </c>
      <c r="F59" s="12"/>
      <c r="G59" s="12"/>
      <c r="H59" s="12"/>
      <c r="I59" s="12"/>
      <c r="J59" s="13"/>
      <c r="K59" s="3"/>
      <c r="L59" s="3"/>
    </row>
    <row r="60">
      <c r="A60" s="27" t="s">
        <v>456</v>
      </c>
      <c r="B60" s="28" t="s">
        <v>546</v>
      </c>
      <c r="C60" s="29" t="s">
        <v>549</v>
      </c>
      <c r="D60" s="10" t="s">
        <v>461</v>
      </c>
      <c r="E60" s="11" t="s">
        <v>462</v>
      </c>
      <c r="F60" s="12"/>
      <c r="G60" s="12"/>
      <c r="H60" s="12"/>
      <c r="I60" s="12"/>
      <c r="J60" s="13"/>
      <c r="K60" s="3"/>
      <c r="L60" s="3"/>
    </row>
    <row r="61">
      <c r="A61" s="27" t="s">
        <v>456</v>
      </c>
      <c r="B61" s="28" t="s">
        <v>546</v>
      </c>
      <c r="C61" s="29" t="s">
        <v>550</v>
      </c>
      <c r="D61" s="10" t="s">
        <v>461</v>
      </c>
      <c r="E61" s="11" t="s">
        <v>462</v>
      </c>
      <c r="F61" s="12"/>
      <c r="G61" s="12"/>
      <c r="H61" s="12"/>
      <c r="I61" s="12"/>
      <c r="J61" s="13"/>
      <c r="K61" s="3"/>
      <c r="L61" s="3"/>
    </row>
    <row r="62">
      <c r="A62" s="27" t="s">
        <v>456</v>
      </c>
      <c r="B62" s="28" t="s">
        <v>546</v>
      </c>
      <c r="C62" s="29" t="s">
        <v>551</v>
      </c>
      <c r="D62" s="10" t="s">
        <v>461</v>
      </c>
      <c r="E62" s="11" t="s">
        <v>462</v>
      </c>
      <c r="F62" s="12"/>
      <c r="G62" s="12"/>
      <c r="H62" s="12"/>
      <c r="I62" s="12"/>
      <c r="J62" s="13"/>
      <c r="K62" s="3"/>
      <c r="L62" s="3"/>
    </row>
    <row r="63">
      <c r="A63" s="27" t="s">
        <v>456</v>
      </c>
      <c r="B63" s="28" t="s">
        <v>546</v>
      </c>
      <c r="C63" s="29" t="s">
        <v>552</v>
      </c>
      <c r="D63" s="10" t="s">
        <v>461</v>
      </c>
      <c r="E63" s="11" t="s">
        <v>462</v>
      </c>
      <c r="F63" s="12"/>
      <c r="G63" s="12"/>
      <c r="H63" s="12"/>
      <c r="I63" s="12"/>
      <c r="J63" s="13"/>
      <c r="K63" s="3"/>
      <c r="L63" s="3"/>
    </row>
    <row r="64">
      <c r="A64" s="27" t="s">
        <v>456</v>
      </c>
      <c r="B64" s="28" t="s">
        <v>546</v>
      </c>
      <c r="C64" s="29" t="s">
        <v>553</v>
      </c>
      <c r="D64" s="10" t="s">
        <v>461</v>
      </c>
      <c r="E64" s="11" t="s">
        <v>341</v>
      </c>
      <c r="F64" s="12"/>
      <c r="G64" s="12"/>
      <c r="H64" s="12"/>
      <c r="I64" s="12"/>
      <c r="J64" s="13"/>
      <c r="K64" s="3"/>
      <c r="L64" s="3"/>
    </row>
    <row r="65">
      <c r="A65" s="27" t="s">
        <v>456</v>
      </c>
      <c r="B65" s="28" t="s">
        <v>546</v>
      </c>
      <c r="C65" s="29" t="s">
        <v>554</v>
      </c>
      <c r="D65" s="10" t="s">
        <v>461</v>
      </c>
      <c r="E65" s="11" t="s">
        <v>462</v>
      </c>
      <c r="F65" s="12"/>
      <c r="G65" s="12"/>
      <c r="H65" s="12"/>
      <c r="I65" s="12"/>
      <c r="J65" s="13"/>
      <c r="K65" s="3"/>
      <c r="L65" s="3"/>
    </row>
    <row r="66">
      <c r="A66" s="27" t="s">
        <v>456</v>
      </c>
      <c r="B66" s="28" t="s">
        <v>546</v>
      </c>
      <c r="C66" s="29" t="s">
        <v>555</v>
      </c>
      <c r="D66" s="10" t="s">
        <v>461</v>
      </c>
      <c r="E66" s="11" t="s">
        <v>341</v>
      </c>
      <c r="F66" s="12"/>
      <c r="G66" s="12"/>
      <c r="H66" s="12"/>
      <c r="I66" s="12"/>
      <c r="J66" s="13"/>
      <c r="K66" s="3"/>
      <c r="L66" s="3"/>
    </row>
    <row r="67">
      <c r="A67" s="30"/>
      <c r="B67" s="12"/>
      <c r="C67" s="31"/>
      <c r="D67" s="12"/>
      <c r="E67" s="31"/>
      <c r="F67" s="12"/>
      <c r="G67" s="12"/>
      <c r="H67" s="12"/>
      <c r="I67" s="12"/>
      <c r="J67" s="13"/>
      <c r="K67" s="3"/>
      <c r="L67" s="3"/>
    </row>
    <row r="68">
      <c r="A68" s="30"/>
      <c r="B68" s="12"/>
      <c r="C68" s="31"/>
      <c r="D68" s="12"/>
      <c r="E68" s="31"/>
      <c r="F68" s="12"/>
      <c r="G68" s="12"/>
      <c r="H68" s="12"/>
      <c r="I68" s="12"/>
      <c r="J68" s="13"/>
      <c r="K68" s="3"/>
      <c r="L68" s="3"/>
    </row>
    <row r="69">
      <c r="A69" s="30"/>
      <c r="B69" s="12"/>
      <c r="C69" s="31"/>
      <c r="D69" s="12"/>
      <c r="E69" s="31"/>
      <c r="F69" s="12"/>
      <c r="G69" s="12"/>
      <c r="H69" s="12"/>
      <c r="I69" s="12"/>
      <c r="J69" s="13"/>
      <c r="K69" s="3"/>
      <c r="L69" s="3"/>
    </row>
    <row r="70">
      <c r="A70" s="17" t="s">
        <v>57</v>
      </c>
      <c r="B70" s="12"/>
      <c r="C70" s="31"/>
      <c r="D70" s="12"/>
      <c r="E70" s="31"/>
      <c r="F70" s="12"/>
      <c r="G70" s="12"/>
      <c r="H70" s="12"/>
      <c r="I70" s="12"/>
      <c r="J70" s="13"/>
      <c r="K70" s="3"/>
      <c r="L70" s="3"/>
    </row>
    <row r="71">
      <c r="A71" s="17" t="s">
        <v>53</v>
      </c>
      <c r="B71" s="12"/>
      <c r="C71" s="31"/>
      <c r="D71" s="12"/>
      <c r="E71" s="31"/>
      <c r="F71" s="12"/>
      <c r="G71" s="12"/>
      <c r="H71" s="12"/>
      <c r="I71" s="12"/>
      <c r="J71" s="13"/>
      <c r="K71" s="3"/>
      <c r="L71" s="3"/>
    </row>
    <row r="72">
      <c r="A72" s="17" t="s">
        <v>58</v>
      </c>
      <c r="B72" s="12"/>
      <c r="C72" s="31"/>
      <c r="D72" s="12"/>
      <c r="E72" s="31"/>
      <c r="F72" s="12"/>
      <c r="G72" s="12"/>
      <c r="H72" s="12"/>
      <c r="I72" s="12"/>
      <c r="J72" s="13"/>
      <c r="K72" s="3"/>
      <c r="L72" s="3"/>
    </row>
    <row r="73">
      <c r="A73" s="32" t="s">
        <v>59</v>
      </c>
      <c r="B73" s="33"/>
      <c r="C73" s="34"/>
      <c r="D73" s="33"/>
      <c r="E73" s="34"/>
      <c r="F73" s="33"/>
      <c r="G73" s="33"/>
      <c r="H73" s="33"/>
      <c r="I73" s="33"/>
      <c r="J73" s="35"/>
      <c r="K73" s="3"/>
      <c r="L73" s="3"/>
    </row>
    <row r="74">
      <c r="C74" s="3"/>
      <c r="E74" s="3"/>
      <c r="K74" s="3"/>
      <c r="L74" s="3"/>
    </row>
    <row r="75">
      <c r="C75" s="3"/>
      <c r="E75" s="3"/>
      <c r="K75" s="3"/>
      <c r="L75" s="3"/>
    </row>
    <row r="76">
      <c r="C76" s="3"/>
      <c r="E76" s="3"/>
      <c r="K76" s="3"/>
      <c r="L76" s="3"/>
    </row>
    <row r="77">
      <c r="C77" s="3"/>
      <c r="E77" s="3"/>
      <c r="K77" s="3"/>
      <c r="L77" s="3"/>
    </row>
    <row r="78">
      <c r="C78" s="3"/>
      <c r="E78" s="36" t="s">
        <v>60</v>
      </c>
      <c r="K78" s="3"/>
      <c r="L78" s="3"/>
    </row>
    <row r="79">
      <c r="C79" s="3"/>
      <c r="E79" s="11" t="s">
        <v>61</v>
      </c>
      <c r="K79" s="3"/>
      <c r="L79" s="3"/>
    </row>
    <row r="80">
      <c r="C80" s="3"/>
      <c r="E80" s="11" t="s">
        <v>62</v>
      </c>
      <c r="K80" s="3"/>
      <c r="L80" s="3"/>
    </row>
    <row r="81">
      <c r="C81" s="3"/>
      <c r="E81" s="11" t="s">
        <v>63</v>
      </c>
      <c r="K81" s="3"/>
      <c r="L81" s="3"/>
    </row>
    <row r="82">
      <c r="C82" s="3"/>
      <c r="E82" s="3"/>
      <c r="K82" s="3"/>
      <c r="L82" s="3"/>
    </row>
    <row r="83">
      <c r="C83" s="3"/>
      <c r="E83" s="3"/>
      <c r="K83" s="3"/>
      <c r="L83" s="3"/>
    </row>
    <row r="84">
      <c r="C84" s="3"/>
      <c r="E84" s="3"/>
      <c r="K84" s="3"/>
      <c r="L84" s="3"/>
    </row>
    <row r="85">
      <c r="C85" s="3"/>
      <c r="E85" s="3"/>
      <c r="K85" s="3"/>
      <c r="L85" s="3"/>
    </row>
    <row r="86">
      <c r="C86" s="3"/>
      <c r="E86" s="3"/>
      <c r="K86" s="3"/>
      <c r="L86" s="3"/>
    </row>
    <row r="87">
      <c r="C87" s="3"/>
      <c r="E87" s="3"/>
      <c r="K87" s="3"/>
      <c r="L87" s="3"/>
    </row>
    <row r="88">
      <c r="C88" s="3"/>
      <c r="E88" s="3"/>
      <c r="K88" s="3"/>
      <c r="L88" s="3"/>
    </row>
    <row r="89">
      <c r="C89" s="3"/>
      <c r="E89" s="3"/>
      <c r="K89" s="3"/>
      <c r="L89" s="3"/>
    </row>
    <row r="90">
      <c r="C90" s="3"/>
      <c r="E90" s="3"/>
      <c r="K90" s="3"/>
      <c r="L90" s="3"/>
    </row>
    <row r="91">
      <c r="C91" s="3"/>
      <c r="E91" s="3"/>
      <c r="K91" s="3"/>
      <c r="L91" s="3"/>
    </row>
    <row r="92">
      <c r="C92" s="3"/>
      <c r="E92" s="3"/>
      <c r="K92" s="3"/>
      <c r="L92" s="3"/>
    </row>
    <row r="93">
      <c r="C93" s="3"/>
      <c r="E93" s="3"/>
      <c r="K93" s="3"/>
      <c r="L93" s="3"/>
    </row>
    <row r="94">
      <c r="C94" s="3"/>
      <c r="E94" s="3"/>
      <c r="K94" s="3"/>
      <c r="L94" s="3"/>
    </row>
    <row r="95">
      <c r="C95" s="3"/>
      <c r="E95" s="3"/>
      <c r="K95" s="3"/>
      <c r="L95" s="3"/>
    </row>
    <row r="96">
      <c r="C96" s="3"/>
      <c r="E96" s="3"/>
      <c r="K96" s="3"/>
      <c r="L96" s="3"/>
    </row>
    <row r="97">
      <c r="C97" s="3"/>
      <c r="E97" s="3"/>
      <c r="K97" s="3"/>
      <c r="L97" s="3"/>
    </row>
    <row r="98">
      <c r="C98" s="3"/>
      <c r="E98" s="3"/>
      <c r="K98" s="3"/>
      <c r="L98" s="3"/>
    </row>
    <row r="99">
      <c r="C99" s="3"/>
      <c r="E99" s="3"/>
      <c r="K99" s="3"/>
      <c r="L99" s="3"/>
    </row>
    <row r="100">
      <c r="C100" s="3"/>
      <c r="E100" s="3"/>
      <c r="K100" s="3"/>
      <c r="L100" s="3"/>
    </row>
    <row r="101">
      <c r="C101" s="3"/>
      <c r="E101" s="3"/>
      <c r="K101" s="3"/>
      <c r="L101" s="3"/>
    </row>
    <row r="102">
      <c r="C102" s="3"/>
      <c r="E102" s="3"/>
      <c r="K102" s="3"/>
      <c r="L102" s="3"/>
    </row>
    <row r="103">
      <c r="C103" s="3"/>
      <c r="E103" s="3"/>
      <c r="K103" s="3"/>
      <c r="L103" s="3"/>
    </row>
    <row r="104">
      <c r="C104" s="3"/>
      <c r="E104" s="3"/>
      <c r="K104" s="3"/>
      <c r="L104" s="3"/>
    </row>
    <row r="105">
      <c r="C105" s="3"/>
      <c r="E105" s="3"/>
      <c r="K105" s="3"/>
      <c r="L105" s="3"/>
    </row>
    <row r="106">
      <c r="C106" s="3"/>
      <c r="E106" s="3"/>
      <c r="K106" s="3"/>
      <c r="L106" s="3"/>
    </row>
    <row r="107">
      <c r="C107" s="3"/>
      <c r="E107" s="3"/>
      <c r="K107" s="3"/>
      <c r="L107" s="3"/>
    </row>
    <row r="108">
      <c r="C108" s="3"/>
      <c r="E108" s="3"/>
      <c r="K108" s="3"/>
      <c r="L108" s="3"/>
    </row>
    <row r="109">
      <c r="C109" s="3"/>
      <c r="E109" s="3"/>
      <c r="K109" s="3"/>
      <c r="L109" s="3"/>
    </row>
    <row r="110">
      <c r="C110" s="3"/>
      <c r="E110" s="3"/>
      <c r="K110" s="3"/>
      <c r="L110" s="3"/>
    </row>
    <row r="111">
      <c r="C111" s="3"/>
      <c r="E111" s="3"/>
      <c r="K111" s="3"/>
      <c r="L111" s="3"/>
    </row>
    <row r="112">
      <c r="C112" s="3"/>
      <c r="E112" s="3"/>
      <c r="K112" s="3"/>
      <c r="L112" s="3"/>
    </row>
    <row r="113">
      <c r="C113" s="3"/>
      <c r="E113" s="3"/>
      <c r="K113" s="3"/>
      <c r="L113" s="3"/>
    </row>
    <row r="114">
      <c r="C114" s="3"/>
      <c r="E114" s="3"/>
      <c r="K114" s="3"/>
      <c r="L114" s="3"/>
    </row>
    <row r="115">
      <c r="C115" s="3"/>
      <c r="E115" s="3"/>
      <c r="K115" s="3"/>
      <c r="L115" s="3"/>
    </row>
    <row r="116">
      <c r="C116" s="3"/>
      <c r="E116" s="3"/>
      <c r="K116" s="3"/>
      <c r="L116" s="3"/>
    </row>
    <row r="117">
      <c r="C117" s="3"/>
      <c r="E117" s="3"/>
      <c r="K117" s="3"/>
      <c r="L117" s="3"/>
    </row>
    <row r="118">
      <c r="C118" s="3"/>
      <c r="E118" s="3"/>
      <c r="K118" s="3"/>
      <c r="L118" s="3"/>
    </row>
    <row r="119">
      <c r="C119" s="3"/>
      <c r="E119" s="3"/>
      <c r="K119" s="3"/>
      <c r="L119" s="3"/>
    </row>
    <row r="120">
      <c r="C120" s="3"/>
      <c r="E120" s="3"/>
      <c r="K120" s="3"/>
      <c r="L120" s="3"/>
    </row>
    <row r="121">
      <c r="C121" s="3"/>
      <c r="E121" s="3"/>
      <c r="K121" s="3"/>
      <c r="L121" s="3"/>
    </row>
    <row r="122">
      <c r="C122" s="3"/>
      <c r="E122" s="3"/>
      <c r="K122" s="3"/>
      <c r="L122" s="3"/>
    </row>
    <row r="123">
      <c r="C123" s="3"/>
      <c r="E123" s="3"/>
      <c r="K123" s="3"/>
      <c r="L123" s="3"/>
    </row>
    <row r="124">
      <c r="C124" s="3"/>
      <c r="E124" s="3"/>
      <c r="K124" s="3"/>
      <c r="L124" s="3"/>
    </row>
    <row r="125">
      <c r="C125" s="3"/>
      <c r="E125" s="3"/>
      <c r="K125" s="3"/>
      <c r="L125" s="3"/>
    </row>
    <row r="126">
      <c r="C126" s="3"/>
      <c r="E126" s="3"/>
      <c r="K126" s="3"/>
      <c r="L126" s="3"/>
    </row>
    <row r="127">
      <c r="C127" s="3"/>
      <c r="E127" s="3"/>
      <c r="K127" s="3"/>
      <c r="L127" s="3"/>
    </row>
    <row r="128">
      <c r="C128" s="3"/>
      <c r="E128" s="3"/>
      <c r="K128" s="3"/>
      <c r="L128" s="3"/>
    </row>
    <row r="129">
      <c r="C129" s="3"/>
      <c r="E129" s="3"/>
      <c r="K129" s="3"/>
      <c r="L129" s="3"/>
    </row>
    <row r="130">
      <c r="C130" s="3"/>
      <c r="E130" s="3"/>
      <c r="K130" s="3"/>
      <c r="L130" s="3"/>
    </row>
    <row r="131">
      <c r="C131" s="3"/>
      <c r="E131" s="3"/>
      <c r="K131" s="3"/>
      <c r="L131" s="3"/>
    </row>
    <row r="132">
      <c r="C132" s="3"/>
      <c r="E132" s="3"/>
      <c r="K132" s="3"/>
      <c r="L132" s="3"/>
    </row>
    <row r="133">
      <c r="C133" s="3"/>
      <c r="E133" s="3"/>
      <c r="K133" s="3"/>
      <c r="L133" s="3"/>
    </row>
    <row r="134">
      <c r="C134" s="3"/>
      <c r="E134" s="3"/>
      <c r="K134" s="3"/>
      <c r="L134" s="3"/>
    </row>
    <row r="135">
      <c r="C135" s="3"/>
      <c r="E135" s="3"/>
      <c r="K135" s="3"/>
      <c r="L135" s="3"/>
    </row>
    <row r="136">
      <c r="C136" s="3"/>
      <c r="E136" s="3"/>
      <c r="K136" s="3"/>
      <c r="L136" s="3"/>
    </row>
    <row r="137">
      <c r="C137" s="3"/>
      <c r="E137" s="3"/>
      <c r="K137" s="3"/>
      <c r="L137" s="3"/>
    </row>
    <row r="138">
      <c r="C138" s="3"/>
      <c r="E138" s="3"/>
      <c r="K138" s="3"/>
      <c r="L138" s="3"/>
    </row>
    <row r="139">
      <c r="C139" s="3"/>
      <c r="E139" s="3"/>
      <c r="K139" s="3"/>
      <c r="L139" s="3"/>
    </row>
    <row r="140">
      <c r="C140" s="3"/>
      <c r="E140" s="3"/>
      <c r="K140" s="3"/>
      <c r="L140" s="3"/>
    </row>
    <row r="141">
      <c r="C141" s="3"/>
      <c r="E141" s="3"/>
      <c r="K141" s="3"/>
      <c r="L141" s="3"/>
    </row>
    <row r="142">
      <c r="C142" s="3"/>
      <c r="E142" s="3"/>
      <c r="K142" s="3"/>
      <c r="L142" s="3"/>
    </row>
    <row r="143">
      <c r="C143" s="3"/>
      <c r="E143" s="3"/>
      <c r="K143" s="3"/>
      <c r="L143" s="3"/>
    </row>
    <row r="144">
      <c r="C144" s="3"/>
      <c r="E144" s="3"/>
      <c r="K144" s="3"/>
      <c r="L144" s="3"/>
    </row>
    <row r="145">
      <c r="C145" s="3"/>
      <c r="E145" s="3"/>
      <c r="K145" s="3"/>
      <c r="L145" s="3"/>
    </row>
    <row r="146">
      <c r="C146" s="3"/>
      <c r="E146" s="3"/>
      <c r="K146" s="3"/>
      <c r="L146" s="3"/>
    </row>
    <row r="147">
      <c r="C147" s="3"/>
      <c r="E147" s="3"/>
      <c r="K147" s="3"/>
      <c r="L147" s="3"/>
    </row>
    <row r="148">
      <c r="C148" s="3"/>
      <c r="E148" s="3"/>
      <c r="K148" s="3"/>
      <c r="L148" s="3"/>
    </row>
    <row r="149">
      <c r="C149" s="3"/>
      <c r="E149" s="3"/>
      <c r="K149" s="3"/>
      <c r="L149" s="3"/>
    </row>
    <row r="150">
      <c r="C150" s="3"/>
      <c r="E150" s="3"/>
      <c r="K150" s="3"/>
      <c r="L150" s="3"/>
    </row>
    <row r="151">
      <c r="C151" s="3"/>
      <c r="E151" s="3"/>
      <c r="K151" s="3"/>
      <c r="L151" s="3"/>
    </row>
    <row r="152">
      <c r="C152" s="3"/>
      <c r="E152" s="3"/>
      <c r="K152" s="3"/>
      <c r="L152" s="3"/>
    </row>
    <row r="153">
      <c r="C153" s="3"/>
      <c r="E153" s="3"/>
      <c r="K153" s="3"/>
      <c r="L153" s="3"/>
    </row>
    <row r="154">
      <c r="C154" s="3"/>
      <c r="E154" s="3"/>
      <c r="K154" s="3"/>
      <c r="L154" s="3"/>
    </row>
    <row r="155">
      <c r="C155" s="3"/>
      <c r="E155" s="3"/>
      <c r="K155" s="3"/>
      <c r="L155" s="3"/>
    </row>
    <row r="156">
      <c r="C156" s="3"/>
      <c r="E156" s="3"/>
      <c r="K156" s="3"/>
      <c r="L156" s="3"/>
    </row>
    <row r="157">
      <c r="C157" s="3"/>
      <c r="E157" s="3"/>
      <c r="K157" s="3"/>
      <c r="L157" s="3"/>
    </row>
    <row r="158">
      <c r="C158" s="3"/>
      <c r="E158" s="3"/>
      <c r="K158" s="3"/>
      <c r="L158" s="3"/>
    </row>
    <row r="159">
      <c r="C159" s="3"/>
      <c r="E159" s="3"/>
      <c r="K159" s="3"/>
      <c r="L159" s="3"/>
    </row>
    <row r="160">
      <c r="C160" s="3"/>
      <c r="E160" s="3"/>
      <c r="K160" s="3"/>
      <c r="L160" s="3"/>
    </row>
    <row r="161">
      <c r="C161" s="3"/>
      <c r="E161" s="3"/>
      <c r="K161" s="3"/>
      <c r="L161" s="3"/>
    </row>
    <row r="162">
      <c r="C162" s="3"/>
      <c r="E162" s="3"/>
      <c r="K162" s="3"/>
      <c r="L162" s="3"/>
    </row>
    <row r="163">
      <c r="C163" s="3"/>
      <c r="E163" s="3"/>
      <c r="K163" s="3"/>
      <c r="L163" s="3"/>
    </row>
    <row r="164">
      <c r="C164" s="3"/>
      <c r="E164" s="3"/>
      <c r="K164" s="3"/>
      <c r="L164" s="3"/>
    </row>
    <row r="165">
      <c r="C165" s="3"/>
      <c r="E165" s="3"/>
      <c r="K165" s="3"/>
      <c r="L165" s="3"/>
    </row>
    <row r="166">
      <c r="C166" s="3"/>
      <c r="E166" s="3"/>
      <c r="K166" s="3"/>
      <c r="L166" s="3"/>
    </row>
    <row r="167">
      <c r="C167" s="3"/>
      <c r="E167" s="3"/>
      <c r="K167" s="3"/>
      <c r="L167" s="3"/>
    </row>
    <row r="168">
      <c r="C168" s="3"/>
      <c r="E168" s="3"/>
      <c r="K168" s="3"/>
      <c r="L168" s="3"/>
    </row>
    <row r="169">
      <c r="C169" s="3"/>
      <c r="E169" s="3"/>
      <c r="K169" s="3"/>
      <c r="L169" s="3"/>
    </row>
    <row r="170">
      <c r="C170" s="3"/>
      <c r="E170" s="3"/>
      <c r="K170" s="3"/>
      <c r="L170" s="3"/>
    </row>
    <row r="171">
      <c r="C171" s="3"/>
      <c r="E171" s="3"/>
      <c r="K171" s="3"/>
      <c r="L171" s="3"/>
    </row>
    <row r="172">
      <c r="C172" s="3"/>
      <c r="E172" s="3"/>
      <c r="K172" s="3"/>
      <c r="L172" s="3"/>
    </row>
    <row r="173">
      <c r="C173" s="3"/>
      <c r="E173" s="3"/>
      <c r="K173" s="3"/>
      <c r="L173" s="3"/>
    </row>
    <row r="174">
      <c r="C174" s="3"/>
      <c r="E174" s="3"/>
      <c r="K174" s="3"/>
      <c r="L174" s="3"/>
    </row>
    <row r="175">
      <c r="C175" s="3"/>
      <c r="E175" s="3"/>
      <c r="K175" s="3"/>
      <c r="L175" s="3"/>
    </row>
    <row r="176">
      <c r="C176" s="3"/>
      <c r="E176" s="3"/>
      <c r="K176" s="3"/>
      <c r="L176" s="3"/>
    </row>
    <row r="177">
      <c r="C177" s="3"/>
      <c r="E177" s="3"/>
      <c r="K177" s="3"/>
      <c r="L177" s="3"/>
    </row>
    <row r="178">
      <c r="C178" s="3"/>
      <c r="E178" s="3"/>
      <c r="K178" s="3"/>
      <c r="L178" s="3"/>
    </row>
    <row r="179">
      <c r="C179" s="3"/>
      <c r="E179" s="3"/>
      <c r="K179" s="3"/>
      <c r="L179" s="3"/>
    </row>
    <row r="180">
      <c r="C180" s="3"/>
      <c r="E180" s="3"/>
      <c r="K180" s="3"/>
      <c r="L180" s="3"/>
    </row>
    <row r="181">
      <c r="C181" s="3"/>
      <c r="E181" s="3"/>
      <c r="K181" s="3"/>
      <c r="L181" s="3"/>
    </row>
    <row r="182">
      <c r="C182" s="3"/>
      <c r="E182" s="3"/>
      <c r="K182" s="3"/>
      <c r="L182" s="3"/>
    </row>
    <row r="183">
      <c r="C183" s="3"/>
      <c r="E183" s="3"/>
      <c r="K183" s="3"/>
      <c r="L183" s="3"/>
    </row>
    <row r="184">
      <c r="C184" s="3"/>
      <c r="E184" s="3"/>
      <c r="K184" s="3"/>
      <c r="L184" s="3"/>
    </row>
    <row r="185">
      <c r="C185" s="3"/>
      <c r="E185" s="3"/>
      <c r="K185" s="3"/>
      <c r="L185" s="3"/>
    </row>
    <row r="186">
      <c r="C186" s="3"/>
      <c r="E186" s="3"/>
      <c r="K186" s="3"/>
      <c r="L186" s="3"/>
    </row>
    <row r="187">
      <c r="C187" s="3"/>
      <c r="E187" s="3"/>
      <c r="K187" s="3"/>
      <c r="L187" s="3"/>
    </row>
    <row r="188">
      <c r="C188" s="3"/>
      <c r="E188" s="3"/>
      <c r="K188" s="3"/>
      <c r="L188" s="3"/>
    </row>
    <row r="189">
      <c r="C189" s="3"/>
      <c r="E189" s="3"/>
      <c r="K189" s="3"/>
      <c r="L189" s="3"/>
    </row>
    <row r="190">
      <c r="C190" s="3"/>
      <c r="E190" s="3"/>
      <c r="K190" s="3"/>
      <c r="L190" s="3"/>
    </row>
    <row r="191">
      <c r="C191" s="3"/>
      <c r="E191" s="3"/>
      <c r="K191" s="3"/>
      <c r="L191" s="3"/>
    </row>
    <row r="192">
      <c r="C192" s="3"/>
      <c r="E192" s="3"/>
      <c r="K192" s="3"/>
      <c r="L192" s="3"/>
    </row>
    <row r="193">
      <c r="C193" s="3"/>
      <c r="E193" s="3"/>
      <c r="K193" s="3"/>
      <c r="L193" s="3"/>
    </row>
    <row r="194">
      <c r="C194" s="3"/>
      <c r="E194" s="3"/>
      <c r="K194" s="3"/>
      <c r="L194" s="3"/>
    </row>
    <row r="195">
      <c r="C195" s="3"/>
      <c r="E195" s="3"/>
      <c r="K195" s="3"/>
      <c r="L195" s="3"/>
    </row>
    <row r="196">
      <c r="C196" s="3"/>
      <c r="E196" s="3"/>
      <c r="K196" s="3"/>
      <c r="L196" s="3"/>
    </row>
    <row r="197">
      <c r="C197" s="3"/>
      <c r="E197" s="3"/>
      <c r="K197" s="3"/>
      <c r="L197" s="3"/>
    </row>
    <row r="198">
      <c r="C198" s="3"/>
      <c r="E198" s="3"/>
      <c r="K198" s="3"/>
      <c r="L198" s="3"/>
    </row>
    <row r="199">
      <c r="C199" s="3"/>
      <c r="E199" s="3"/>
      <c r="K199" s="3"/>
      <c r="L199" s="3"/>
    </row>
    <row r="200">
      <c r="C200" s="3"/>
      <c r="E200" s="3"/>
      <c r="K200" s="3"/>
      <c r="L200" s="3"/>
    </row>
    <row r="201">
      <c r="C201" s="3"/>
      <c r="E201" s="3"/>
      <c r="K201" s="3"/>
      <c r="L201" s="3"/>
    </row>
    <row r="202">
      <c r="C202" s="3"/>
      <c r="E202" s="3"/>
      <c r="K202" s="3"/>
      <c r="L202" s="3"/>
    </row>
    <row r="203">
      <c r="C203" s="3"/>
      <c r="E203" s="3"/>
      <c r="K203" s="3"/>
      <c r="L203" s="3"/>
    </row>
    <row r="204">
      <c r="C204" s="3"/>
      <c r="E204" s="3"/>
      <c r="K204" s="3"/>
      <c r="L204" s="3"/>
    </row>
    <row r="205">
      <c r="C205" s="3"/>
      <c r="E205" s="3"/>
      <c r="K205" s="3"/>
      <c r="L205" s="3"/>
    </row>
    <row r="206">
      <c r="C206" s="3"/>
      <c r="E206" s="3"/>
      <c r="K206" s="3"/>
      <c r="L206" s="3"/>
    </row>
    <row r="207">
      <c r="C207" s="3"/>
      <c r="E207" s="3"/>
      <c r="K207" s="3"/>
      <c r="L207" s="3"/>
    </row>
    <row r="208">
      <c r="C208" s="3"/>
      <c r="E208" s="3"/>
      <c r="K208" s="3"/>
      <c r="L208" s="3"/>
    </row>
    <row r="209">
      <c r="C209" s="3"/>
      <c r="E209" s="3"/>
      <c r="K209" s="3"/>
      <c r="L209" s="3"/>
    </row>
    <row r="210">
      <c r="C210" s="3"/>
      <c r="E210" s="3"/>
      <c r="K210" s="3"/>
      <c r="L210" s="3"/>
    </row>
    <row r="211">
      <c r="C211" s="3"/>
      <c r="E211" s="3"/>
      <c r="K211" s="3"/>
      <c r="L211" s="3"/>
    </row>
    <row r="212">
      <c r="C212" s="3"/>
      <c r="E212" s="3"/>
      <c r="K212" s="3"/>
      <c r="L212" s="3"/>
    </row>
    <row r="213">
      <c r="C213" s="3"/>
      <c r="E213" s="3"/>
      <c r="K213" s="3"/>
      <c r="L213" s="3"/>
    </row>
    <row r="214">
      <c r="C214" s="3"/>
      <c r="E214" s="3"/>
      <c r="K214" s="3"/>
      <c r="L214" s="3"/>
    </row>
    <row r="215">
      <c r="C215" s="3"/>
      <c r="E215" s="3"/>
      <c r="K215" s="3"/>
      <c r="L215" s="3"/>
    </row>
    <row r="216">
      <c r="C216" s="3"/>
      <c r="E216" s="3"/>
      <c r="K216" s="3"/>
      <c r="L216" s="3"/>
    </row>
    <row r="217">
      <c r="C217" s="3"/>
      <c r="E217" s="3"/>
      <c r="K217" s="3"/>
      <c r="L217" s="3"/>
    </row>
    <row r="218">
      <c r="C218" s="3"/>
      <c r="E218" s="3"/>
      <c r="K218" s="3"/>
      <c r="L218" s="3"/>
    </row>
    <row r="219">
      <c r="C219" s="3"/>
      <c r="E219" s="3"/>
      <c r="K219" s="3"/>
      <c r="L219" s="3"/>
    </row>
    <row r="220">
      <c r="C220" s="3"/>
      <c r="E220" s="3"/>
      <c r="K220" s="3"/>
      <c r="L220" s="3"/>
    </row>
    <row r="221">
      <c r="C221" s="3"/>
      <c r="E221" s="3"/>
      <c r="K221" s="3"/>
      <c r="L221" s="3"/>
    </row>
    <row r="222">
      <c r="C222" s="3"/>
      <c r="E222" s="3"/>
      <c r="K222" s="3"/>
      <c r="L222" s="3"/>
    </row>
    <row r="223">
      <c r="C223" s="3"/>
      <c r="E223" s="3"/>
      <c r="K223" s="3"/>
      <c r="L223" s="3"/>
    </row>
    <row r="224">
      <c r="C224" s="3"/>
      <c r="E224" s="3"/>
      <c r="K224" s="3"/>
      <c r="L224" s="3"/>
    </row>
    <row r="225">
      <c r="C225" s="3"/>
      <c r="E225" s="3"/>
      <c r="K225" s="3"/>
      <c r="L225" s="3"/>
    </row>
    <row r="226">
      <c r="C226" s="3"/>
      <c r="E226" s="3"/>
      <c r="K226" s="3"/>
      <c r="L226" s="3"/>
    </row>
    <row r="227">
      <c r="C227" s="3"/>
      <c r="E227" s="3"/>
      <c r="K227" s="3"/>
      <c r="L227" s="3"/>
    </row>
    <row r="228">
      <c r="C228" s="3"/>
      <c r="E228" s="3"/>
      <c r="K228" s="3"/>
      <c r="L228" s="3"/>
    </row>
    <row r="229">
      <c r="C229" s="3"/>
      <c r="E229" s="3"/>
      <c r="K229" s="3"/>
      <c r="L229" s="3"/>
    </row>
    <row r="230">
      <c r="C230" s="3"/>
      <c r="E230" s="3"/>
      <c r="K230" s="3"/>
      <c r="L230" s="3"/>
    </row>
    <row r="231">
      <c r="C231" s="3"/>
      <c r="E231" s="3"/>
      <c r="K231" s="3"/>
      <c r="L231" s="3"/>
    </row>
    <row r="232">
      <c r="C232" s="3"/>
      <c r="E232" s="3"/>
      <c r="K232" s="3"/>
      <c r="L232" s="3"/>
    </row>
    <row r="233">
      <c r="C233" s="3"/>
      <c r="E233" s="3"/>
      <c r="K233" s="3"/>
      <c r="L233" s="3"/>
    </row>
    <row r="234">
      <c r="C234" s="3"/>
      <c r="E234" s="3"/>
      <c r="K234" s="3"/>
      <c r="L234" s="3"/>
    </row>
    <row r="235">
      <c r="C235" s="3"/>
      <c r="E235" s="3"/>
      <c r="K235" s="3"/>
      <c r="L235" s="3"/>
    </row>
    <row r="236">
      <c r="C236" s="3"/>
      <c r="E236" s="3"/>
      <c r="K236" s="3"/>
      <c r="L236" s="3"/>
    </row>
    <row r="237">
      <c r="C237" s="3"/>
      <c r="E237" s="3"/>
      <c r="K237" s="3"/>
      <c r="L237" s="3"/>
    </row>
    <row r="238">
      <c r="C238" s="3"/>
      <c r="E238" s="3"/>
      <c r="K238" s="3"/>
      <c r="L238" s="3"/>
    </row>
    <row r="239">
      <c r="C239" s="3"/>
      <c r="E239" s="3"/>
      <c r="K239" s="3"/>
      <c r="L239" s="3"/>
    </row>
    <row r="240">
      <c r="C240" s="3"/>
      <c r="E240" s="3"/>
      <c r="K240" s="3"/>
      <c r="L240" s="3"/>
    </row>
    <row r="241">
      <c r="C241" s="3"/>
      <c r="E241" s="3"/>
      <c r="K241" s="3"/>
      <c r="L241" s="3"/>
    </row>
    <row r="242">
      <c r="C242" s="3"/>
      <c r="E242" s="3"/>
      <c r="K242" s="3"/>
      <c r="L242" s="3"/>
    </row>
    <row r="243">
      <c r="C243" s="3"/>
      <c r="E243" s="3"/>
      <c r="K243" s="3"/>
      <c r="L243" s="3"/>
    </row>
    <row r="244">
      <c r="C244" s="3"/>
      <c r="E244" s="3"/>
      <c r="K244" s="3"/>
      <c r="L244" s="3"/>
    </row>
    <row r="245">
      <c r="C245" s="3"/>
      <c r="E245" s="3"/>
      <c r="K245" s="3"/>
      <c r="L245" s="3"/>
    </row>
    <row r="246">
      <c r="C246" s="3"/>
      <c r="E246" s="3"/>
      <c r="K246" s="3"/>
      <c r="L246" s="3"/>
    </row>
    <row r="247">
      <c r="C247" s="3"/>
      <c r="E247" s="3"/>
      <c r="K247" s="3"/>
      <c r="L247" s="3"/>
    </row>
    <row r="248">
      <c r="C248" s="3"/>
      <c r="E248" s="3"/>
      <c r="K248" s="3"/>
      <c r="L248" s="3"/>
    </row>
    <row r="249">
      <c r="C249" s="3"/>
      <c r="E249" s="3"/>
      <c r="K249" s="3"/>
      <c r="L249" s="3"/>
    </row>
    <row r="250">
      <c r="C250" s="3"/>
      <c r="E250" s="3"/>
      <c r="K250" s="3"/>
      <c r="L250" s="3"/>
    </row>
    <row r="251">
      <c r="C251" s="3"/>
      <c r="E251" s="3"/>
      <c r="K251" s="3"/>
      <c r="L251" s="3"/>
    </row>
    <row r="252">
      <c r="C252" s="3"/>
      <c r="E252" s="3"/>
      <c r="K252" s="3"/>
      <c r="L252" s="3"/>
    </row>
    <row r="253">
      <c r="C253" s="3"/>
      <c r="E253" s="3"/>
      <c r="K253" s="3"/>
      <c r="L253" s="3"/>
    </row>
    <row r="254">
      <c r="C254" s="3"/>
      <c r="E254" s="3"/>
      <c r="K254" s="3"/>
      <c r="L254" s="3"/>
    </row>
    <row r="255">
      <c r="C255" s="3"/>
      <c r="E255" s="3"/>
      <c r="K255" s="3"/>
      <c r="L255" s="3"/>
    </row>
    <row r="256">
      <c r="C256" s="3"/>
      <c r="E256" s="3"/>
      <c r="K256" s="3"/>
      <c r="L256" s="3"/>
    </row>
    <row r="257">
      <c r="C257" s="3"/>
      <c r="E257" s="3"/>
      <c r="K257" s="3"/>
      <c r="L257" s="3"/>
    </row>
    <row r="258">
      <c r="C258" s="3"/>
      <c r="E258" s="3"/>
      <c r="K258" s="3"/>
      <c r="L258" s="3"/>
    </row>
    <row r="259">
      <c r="C259" s="3"/>
      <c r="E259" s="3"/>
      <c r="K259" s="3"/>
      <c r="L259" s="3"/>
    </row>
    <row r="260">
      <c r="C260" s="3"/>
      <c r="E260" s="3"/>
      <c r="K260" s="3"/>
      <c r="L260" s="3"/>
    </row>
    <row r="261">
      <c r="C261" s="3"/>
      <c r="E261" s="3"/>
      <c r="K261" s="3"/>
      <c r="L261" s="3"/>
    </row>
    <row r="262">
      <c r="C262" s="3"/>
      <c r="E262" s="3"/>
      <c r="K262" s="3"/>
      <c r="L262" s="3"/>
    </row>
    <row r="263">
      <c r="C263" s="3"/>
      <c r="E263" s="3"/>
      <c r="K263" s="3"/>
      <c r="L263" s="3"/>
    </row>
    <row r="264">
      <c r="C264" s="3"/>
      <c r="E264" s="3"/>
      <c r="K264" s="3"/>
      <c r="L264" s="3"/>
    </row>
    <row r="265">
      <c r="C265" s="3"/>
      <c r="E265" s="3"/>
      <c r="K265" s="3"/>
      <c r="L265" s="3"/>
    </row>
    <row r="266">
      <c r="C266" s="3"/>
      <c r="E266" s="3"/>
      <c r="K266" s="3"/>
      <c r="L266" s="3"/>
    </row>
    <row r="267">
      <c r="C267" s="3"/>
      <c r="E267" s="3"/>
      <c r="K267" s="3"/>
      <c r="L267" s="3"/>
    </row>
    <row r="268">
      <c r="C268" s="3"/>
      <c r="E268" s="3"/>
      <c r="K268" s="3"/>
      <c r="L268" s="3"/>
    </row>
    <row r="269">
      <c r="C269" s="3"/>
      <c r="E269" s="3"/>
      <c r="K269" s="3"/>
      <c r="L269" s="3"/>
    </row>
    <row r="270">
      <c r="C270" s="3"/>
      <c r="E270" s="3"/>
      <c r="K270" s="3"/>
      <c r="L270" s="3"/>
    </row>
    <row r="271">
      <c r="C271" s="3"/>
      <c r="E271" s="3"/>
      <c r="K271" s="3"/>
      <c r="L271" s="3"/>
    </row>
    <row r="272">
      <c r="C272" s="3"/>
      <c r="E272" s="3"/>
      <c r="K272" s="3"/>
      <c r="L272" s="3"/>
    </row>
    <row r="273">
      <c r="C273" s="3"/>
      <c r="E273" s="3"/>
      <c r="K273" s="3"/>
      <c r="L273" s="3"/>
    </row>
    <row r="274">
      <c r="C274" s="3"/>
      <c r="E274" s="3"/>
      <c r="K274" s="3"/>
      <c r="L274" s="3"/>
    </row>
    <row r="275">
      <c r="C275" s="3"/>
      <c r="E275" s="3"/>
      <c r="K275" s="3"/>
      <c r="L275" s="3"/>
    </row>
    <row r="276">
      <c r="C276" s="3"/>
      <c r="E276" s="3"/>
      <c r="K276" s="3"/>
      <c r="L276" s="3"/>
    </row>
    <row r="277">
      <c r="C277" s="3"/>
      <c r="E277" s="3"/>
      <c r="K277" s="3"/>
      <c r="L277" s="3"/>
    </row>
    <row r="278">
      <c r="C278" s="3"/>
      <c r="E278" s="3"/>
      <c r="K278" s="3"/>
      <c r="L278" s="3"/>
    </row>
    <row r="279">
      <c r="C279" s="3"/>
      <c r="E279" s="3"/>
      <c r="K279" s="3"/>
      <c r="L279" s="3"/>
    </row>
    <row r="280">
      <c r="C280" s="3"/>
      <c r="E280" s="3"/>
      <c r="K280" s="3"/>
      <c r="L280" s="3"/>
    </row>
    <row r="281">
      <c r="C281" s="3"/>
      <c r="E281" s="3"/>
      <c r="K281" s="3"/>
      <c r="L281" s="3"/>
    </row>
    <row r="282">
      <c r="C282" s="3"/>
      <c r="E282" s="3"/>
      <c r="K282" s="3"/>
      <c r="L282" s="3"/>
    </row>
    <row r="283">
      <c r="C283" s="3"/>
      <c r="E283" s="3"/>
      <c r="K283" s="3"/>
      <c r="L283" s="3"/>
    </row>
    <row r="284">
      <c r="C284" s="3"/>
      <c r="E284" s="3"/>
      <c r="K284" s="3"/>
      <c r="L284" s="3"/>
    </row>
    <row r="285">
      <c r="C285" s="3"/>
      <c r="E285" s="3"/>
      <c r="K285" s="3"/>
      <c r="L285" s="3"/>
    </row>
    <row r="286">
      <c r="C286" s="3"/>
      <c r="E286" s="3"/>
      <c r="K286" s="3"/>
      <c r="L286" s="3"/>
    </row>
    <row r="287">
      <c r="C287" s="3"/>
      <c r="E287" s="3"/>
      <c r="K287" s="3"/>
      <c r="L287" s="3"/>
    </row>
    <row r="288">
      <c r="C288" s="3"/>
      <c r="E288" s="3"/>
      <c r="K288" s="3"/>
      <c r="L288" s="3"/>
    </row>
    <row r="289">
      <c r="C289" s="3"/>
      <c r="E289" s="3"/>
      <c r="K289" s="3"/>
      <c r="L289" s="3"/>
    </row>
    <row r="290">
      <c r="C290" s="3"/>
      <c r="E290" s="3"/>
      <c r="K290" s="3"/>
      <c r="L290" s="3"/>
    </row>
    <row r="291">
      <c r="C291" s="3"/>
      <c r="E291" s="3"/>
      <c r="K291" s="3"/>
      <c r="L291" s="3"/>
    </row>
    <row r="292">
      <c r="C292" s="3"/>
      <c r="E292" s="3"/>
      <c r="K292" s="3"/>
      <c r="L292" s="3"/>
    </row>
    <row r="293">
      <c r="C293" s="3"/>
      <c r="E293" s="3"/>
      <c r="K293" s="3"/>
      <c r="L293" s="3"/>
    </row>
    <row r="294">
      <c r="C294" s="3"/>
      <c r="E294" s="3"/>
      <c r="K294" s="3"/>
      <c r="L294" s="3"/>
    </row>
    <row r="295">
      <c r="C295" s="3"/>
      <c r="E295" s="3"/>
      <c r="K295" s="3"/>
      <c r="L295" s="3"/>
    </row>
    <row r="296">
      <c r="C296" s="3"/>
      <c r="E296" s="3"/>
      <c r="K296" s="3"/>
      <c r="L296" s="3"/>
    </row>
    <row r="297">
      <c r="C297" s="3"/>
      <c r="E297" s="3"/>
      <c r="K297" s="3"/>
      <c r="L297" s="3"/>
    </row>
    <row r="298">
      <c r="C298" s="3"/>
      <c r="E298" s="3"/>
      <c r="K298" s="3"/>
      <c r="L298" s="3"/>
    </row>
    <row r="299">
      <c r="C299" s="3"/>
      <c r="E299" s="3"/>
      <c r="K299" s="3"/>
      <c r="L299" s="3"/>
    </row>
    <row r="300">
      <c r="C300" s="3"/>
      <c r="E300" s="3"/>
      <c r="K300" s="3"/>
      <c r="L300" s="3"/>
    </row>
    <row r="301">
      <c r="C301" s="3"/>
      <c r="E301" s="3"/>
      <c r="K301" s="3"/>
      <c r="L301" s="3"/>
    </row>
    <row r="302">
      <c r="C302" s="3"/>
      <c r="E302" s="3"/>
      <c r="K302" s="3"/>
      <c r="L302" s="3"/>
    </row>
    <row r="303">
      <c r="C303" s="3"/>
      <c r="E303" s="3"/>
      <c r="K303" s="3"/>
      <c r="L303" s="3"/>
    </row>
    <row r="304">
      <c r="C304" s="3"/>
      <c r="E304" s="3"/>
      <c r="K304" s="3"/>
      <c r="L304" s="3"/>
    </row>
    <row r="305">
      <c r="C305" s="3"/>
      <c r="E305" s="3"/>
      <c r="K305" s="3"/>
      <c r="L305" s="3"/>
    </row>
    <row r="306">
      <c r="C306" s="3"/>
      <c r="E306" s="3"/>
      <c r="K306" s="3"/>
      <c r="L306" s="3"/>
    </row>
    <row r="307">
      <c r="C307" s="3"/>
      <c r="E307" s="3"/>
      <c r="K307" s="3"/>
      <c r="L307" s="3"/>
    </row>
    <row r="308">
      <c r="C308" s="3"/>
      <c r="E308" s="3"/>
      <c r="K308" s="3"/>
      <c r="L308" s="3"/>
    </row>
    <row r="309">
      <c r="C309" s="3"/>
      <c r="E309" s="3"/>
      <c r="K309" s="3"/>
      <c r="L309" s="3"/>
    </row>
    <row r="310">
      <c r="C310" s="3"/>
      <c r="E310" s="3"/>
      <c r="K310" s="3"/>
      <c r="L310" s="3"/>
    </row>
    <row r="311">
      <c r="C311" s="3"/>
      <c r="E311" s="3"/>
      <c r="K311" s="3"/>
      <c r="L311" s="3"/>
    </row>
    <row r="312">
      <c r="C312" s="3"/>
      <c r="E312" s="3"/>
      <c r="K312" s="3"/>
      <c r="L312" s="3"/>
    </row>
    <row r="313">
      <c r="C313" s="3"/>
      <c r="E313" s="3"/>
      <c r="K313" s="3"/>
      <c r="L313" s="3"/>
    </row>
    <row r="314">
      <c r="C314" s="3"/>
      <c r="E314" s="3"/>
      <c r="K314" s="3"/>
      <c r="L314" s="3"/>
    </row>
    <row r="315">
      <c r="C315" s="3"/>
      <c r="E315" s="3"/>
      <c r="K315" s="3"/>
      <c r="L315" s="3"/>
    </row>
    <row r="316">
      <c r="C316" s="3"/>
      <c r="E316" s="3"/>
      <c r="K316" s="3"/>
      <c r="L316" s="3"/>
    </row>
    <row r="317">
      <c r="C317" s="3"/>
      <c r="E317" s="3"/>
      <c r="K317" s="3"/>
      <c r="L317" s="3"/>
    </row>
    <row r="318">
      <c r="C318" s="3"/>
      <c r="E318" s="3"/>
      <c r="K318" s="3"/>
      <c r="L318" s="3"/>
    </row>
    <row r="319">
      <c r="C319" s="3"/>
      <c r="E319" s="3"/>
      <c r="K319" s="3"/>
      <c r="L319" s="3"/>
    </row>
    <row r="320">
      <c r="C320" s="3"/>
      <c r="E320" s="3"/>
      <c r="K320" s="3"/>
      <c r="L320" s="3"/>
    </row>
    <row r="321">
      <c r="C321" s="3"/>
      <c r="E321" s="3"/>
      <c r="K321" s="3"/>
      <c r="L321" s="3"/>
    </row>
    <row r="322">
      <c r="C322" s="3"/>
      <c r="E322" s="3"/>
      <c r="K322" s="3"/>
      <c r="L322" s="3"/>
    </row>
    <row r="323">
      <c r="C323" s="3"/>
      <c r="E323" s="3"/>
      <c r="K323" s="3"/>
      <c r="L323" s="3"/>
    </row>
    <row r="324">
      <c r="C324" s="3"/>
      <c r="E324" s="3"/>
      <c r="K324" s="3"/>
      <c r="L324" s="3"/>
    </row>
    <row r="325">
      <c r="C325" s="3"/>
      <c r="E325" s="3"/>
      <c r="K325" s="3"/>
      <c r="L325" s="3"/>
    </row>
    <row r="326">
      <c r="C326" s="3"/>
      <c r="E326" s="3"/>
      <c r="K326" s="3"/>
      <c r="L326" s="3"/>
    </row>
    <row r="327">
      <c r="C327" s="3"/>
      <c r="E327" s="3"/>
      <c r="K327" s="3"/>
      <c r="L327" s="3"/>
    </row>
    <row r="328">
      <c r="C328" s="3"/>
      <c r="E328" s="3"/>
      <c r="K328" s="3"/>
      <c r="L328" s="3"/>
    </row>
    <row r="329">
      <c r="C329" s="3"/>
      <c r="E329" s="3"/>
      <c r="K329" s="3"/>
      <c r="L329" s="3"/>
    </row>
    <row r="330">
      <c r="C330" s="3"/>
      <c r="E330" s="3"/>
      <c r="K330" s="3"/>
      <c r="L330" s="3"/>
    </row>
    <row r="331">
      <c r="C331" s="3"/>
      <c r="E331" s="3"/>
      <c r="K331" s="3"/>
      <c r="L331" s="3"/>
    </row>
    <row r="332">
      <c r="C332" s="3"/>
      <c r="E332" s="3"/>
      <c r="K332" s="3"/>
      <c r="L332" s="3"/>
    </row>
    <row r="333">
      <c r="C333" s="3"/>
      <c r="E333" s="3"/>
      <c r="K333" s="3"/>
      <c r="L333" s="3"/>
    </row>
    <row r="334">
      <c r="C334" s="3"/>
      <c r="E334" s="3"/>
      <c r="K334" s="3"/>
      <c r="L334" s="3"/>
    </row>
    <row r="335">
      <c r="C335" s="3"/>
      <c r="E335" s="3"/>
      <c r="K335" s="3"/>
      <c r="L335" s="3"/>
    </row>
    <row r="336">
      <c r="C336" s="3"/>
      <c r="E336" s="3"/>
      <c r="K336" s="3"/>
      <c r="L336" s="3"/>
    </row>
    <row r="337">
      <c r="C337" s="3"/>
      <c r="E337" s="3"/>
      <c r="K337" s="3"/>
      <c r="L337" s="3"/>
    </row>
    <row r="338">
      <c r="C338" s="3"/>
      <c r="E338" s="3"/>
      <c r="K338" s="3"/>
      <c r="L338" s="3"/>
    </row>
    <row r="339">
      <c r="C339" s="3"/>
      <c r="E339" s="3"/>
      <c r="K339" s="3"/>
      <c r="L339" s="3"/>
    </row>
    <row r="340">
      <c r="C340" s="3"/>
      <c r="E340" s="3"/>
      <c r="K340" s="3"/>
      <c r="L340" s="3"/>
    </row>
    <row r="341">
      <c r="C341" s="3"/>
      <c r="E341" s="3"/>
      <c r="K341" s="3"/>
      <c r="L341" s="3"/>
    </row>
    <row r="342">
      <c r="C342" s="3"/>
      <c r="E342" s="3"/>
      <c r="K342" s="3"/>
      <c r="L342" s="3"/>
    </row>
    <row r="343">
      <c r="C343" s="3"/>
      <c r="E343" s="3"/>
      <c r="K343" s="3"/>
      <c r="L343" s="3"/>
    </row>
    <row r="344">
      <c r="C344" s="3"/>
      <c r="E344" s="3"/>
      <c r="K344" s="3"/>
      <c r="L344" s="3"/>
    </row>
    <row r="345">
      <c r="C345" s="3"/>
      <c r="E345" s="3"/>
      <c r="K345" s="3"/>
      <c r="L345" s="3"/>
    </row>
    <row r="346">
      <c r="C346" s="3"/>
      <c r="E346" s="3"/>
      <c r="K346" s="3"/>
      <c r="L346" s="3"/>
    </row>
    <row r="347">
      <c r="C347" s="3"/>
      <c r="E347" s="3"/>
      <c r="K347" s="3"/>
      <c r="L347" s="3"/>
    </row>
    <row r="348">
      <c r="C348" s="3"/>
      <c r="E348" s="3"/>
      <c r="K348" s="3"/>
      <c r="L348" s="3"/>
    </row>
    <row r="349">
      <c r="C349" s="3"/>
      <c r="E349" s="3"/>
      <c r="K349" s="3"/>
      <c r="L349" s="3"/>
    </row>
    <row r="350">
      <c r="C350" s="3"/>
      <c r="E350" s="3"/>
      <c r="K350" s="3"/>
      <c r="L350" s="3"/>
    </row>
    <row r="351">
      <c r="C351" s="3"/>
      <c r="E351" s="3"/>
      <c r="K351" s="3"/>
      <c r="L351" s="3"/>
    </row>
    <row r="352">
      <c r="C352" s="3"/>
      <c r="E352" s="3"/>
      <c r="K352" s="3"/>
      <c r="L352" s="3"/>
    </row>
    <row r="353">
      <c r="C353" s="3"/>
      <c r="E353" s="3"/>
      <c r="K353" s="3"/>
      <c r="L353" s="3"/>
    </row>
    <row r="354">
      <c r="C354" s="3"/>
      <c r="E354" s="3"/>
      <c r="K354" s="3"/>
      <c r="L354" s="3"/>
    </row>
    <row r="355">
      <c r="C355" s="3"/>
      <c r="E355" s="3"/>
      <c r="K355" s="3"/>
      <c r="L355" s="3"/>
    </row>
    <row r="356">
      <c r="C356" s="3"/>
      <c r="E356" s="3"/>
      <c r="K356" s="3"/>
      <c r="L356" s="3"/>
    </row>
    <row r="357">
      <c r="C357" s="3"/>
      <c r="E357" s="3"/>
      <c r="K357" s="3"/>
      <c r="L357" s="3"/>
    </row>
    <row r="358">
      <c r="C358" s="3"/>
      <c r="E358" s="3"/>
      <c r="K358" s="3"/>
      <c r="L358" s="3"/>
    </row>
    <row r="359">
      <c r="C359" s="3"/>
      <c r="E359" s="3"/>
      <c r="K359" s="3"/>
      <c r="L359" s="3"/>
    </row>
    <row r="360">
      <c r="C360" s="3"/>
      <c r="E360" s="3"/>
      <c r="K360" s="3"/>
      <c r="L360" s="3"/>
    </row>
    <row r="361">
      <c r="C361" s="3"/>
      <c r="E361" s="3"/>
      <c r="K361" s="3"/>
      <c r="L361" s="3"/>
    </row>
    <row r="362">
      <c r="C362" s="3"/>
      <c r="E362" s="3"/>
      <c r="K362" s="3"/>
      <c r="L362" s="3"/>
    </row>
    <row r="363">
      <c r="C363" s="3"/>
      <c r="E363" s="3"/>
      <c r="K363" s="3"/>
      <c r="L363" s="3"/>
    </row>
    <row r="364">
      <c r="C364" s="3"/>
      <c r="E364" s="3"/>
      <c r="K364" s="3"/>
      <c r="L364" s="3"/>
    </row>
    <row r="365">
      <c r="C365" s="3"/>
      <c r="E365" s="3"/>
      <c r="K365" s="3"/>
      <c r="L365" s="3"/>
    </row>
    <row r="366">
      <c r="C366" s="3"/>
      <c r="E366" s="3"/>
      <c r="K366" s="3"/>
      <c r="L366" s="3"/>
    </row>
    <row r="367">
      <c r="C367" s="3"/>
      <c r="E367" s="3"/>
      <c r="K367" s="3"/>
      <c r="L367" s="3"/>
    </row>
    <row r="368">
      <c r="C368" s="3"/>
      <c r="E368" s="3"/>
      <c r="K368" s="3"/>
      <c r="L368" s="3"/>
    </row>
    <row r="369">
      <c r="C369" s="3"/>
      <c r="E369" s="3"/>
      <c r="K369" s="3"/>
      <c r="L369" s="3"/>
    </row>
    <row r="370">
      <c r="C370" s="3"/>
      <c r="E370" s="3"/>
      <c r="K370" s="3"/>
      <c r="L370" s="3"/>
    </row>
    <row r="371">
      <c r="C371" s="3"/>
      <c r="E371" s="3"/>
      <c r="K371" s="3"/>
      <c r="L371" s="3"/>
    </row>
    <row r="372">
      <c r="C372" s="3"/>
      <c r="E372" s="3"/>
      <c r="K372" s="3"/>
      <c r="L372" s="3"/>
    </row>
    <row r="373">
      <c r="C373" s="3"/>
      <c r="E373" s="3"/>
      <c r="K373" s="3"/>
      <c r="L373" s="3"/>
    </row>
    <row r="374">
      <c r="C374" s="3"/>
      <c r="E374" s="3"/>
      <c r="K374" s="3"/>
      <c r="L374" s="3"/>
    </row>
    <row r="375">
      <c r="C375" s="3"/>
      <c r="E375" s="3"/>
      <c r="K375" s="3"/>
      <c r="L375" s="3"/>
    </row>
    <row r="376">
      <c r="C376" s="3"/>
      <c r="E376" s="3"/>
      <c r="K376" s="3"/>
      <c r="L376" s="3"/>
    </row>
    <row r="377">
      <c r="C377" s="3"/>
      <c r="E377" s="3"/>
      <c r="K377" s="3"/>
      <c r="L377" s="3"/>
    </row>
    <row r="378">
      <c r="C378" s="3"/>
      <c r="E378" s="3"/>
      <c r="K378" s="3"/>
      <c r="L378" s="3"/>
    </row>
    <row r="379">
      <c r="C379" s="3"/>
      <c r="E379" s="3"/>
      <c r="K379" s="3"/>
      <c r="L379" s="3"/>
    </row>
    <row r="380">
      <c r="C380" s="3"/>
      <c r="E380" s="3"/>
      <c r="K380" s="3"/>
      <c r="L380" s="3"/>
    </row>
    <row r="381">
      <c r="C381" s="3"/>
      <c r="E381" s="3"/>
      <c r="K381" s="3"/>
      <c r="L381" s="3"/>
    </row>
    <row r="382">
      <c r="C382" s="3"/>
      <c r="E382" s="3"/>
      <c r="K382" s="3"/>
      <c r="L382" s="3"/>
    </row>
    <row r="383">
      <c r="C383" s="3"/>
      <c r="E383" s="3"/>
      <c r="K383" s="3"/>
      <c r="L383" s="3"/>
    </row>
    <row r="384">
      <c r="C384" s="3"/>
      <c r="E384" s="3"/>
      <c r="K384" s="3"/>
      <c r="L384" s="3"/>
    </row>
    <row r="385">
      <c r="C385" s="3"/>
      <c r="E385" s="3"/>
      <c r="K385" s="3"/>
      <c r="L385" s="3"/>
    </row>
    <row r="386">
      <c r="C386" s="3"/>
      <c r="E386" s="3"/>
      <c r="K386" s="3"/>
      <c r="L386" s="3"/>
    </row>
    <row r="387">
      <c r="C387" s="3"/>
      <c r="E387" s="3"/>
      <c r="K387" s="3"/>
      <c r="L387" s="3"/>
    </row>
    <row r="388">
      <c r="C388" s="3"/>
      <c r="E388" s="3"/>
      <c r="K388" s="3"/>
      <c r="L388" s="3"/>
    </row>
    <row r="389">
      <c r="C389" s="3"/>
      <c r="E389" s="3"/>
      <c r="K389" s="3"/>
      <c r="L389" s="3"/>
    </row>
    <row r="390">
      <c r="C390" s="3"/>
      <c r="E390" s="3"/>
      <c r="K390" s="3"/>
      <c r="L390" s="3"/>
    </row>
    <row r="391">
      <c r="C391" s="3"/>
      <c r="E391" s="3"/>
      <c r="K391" s="3"/>
      <c r="L391" s="3"/>
    </row>
    <row r="392">
      <c r="C392" s="3"/>
      <c r="E392" s="3"/>
      <c r="K392" s="3"/>
      <c r="L392" s="3"/>
    </row>
    <row r="393">
      <c r="C393" s="3"/>
      <c r="E393" s="3"/>
      <c r="K393" s="3"/>
      <c r="L393" s="3"/>
    </row>
    <row r="394">
      <c r="C394" s="3"/>
      <c r="E394" s="3"/>
      <c r="K394" s="3"/>
      <c r="L394" s="3"/>
    </row>
    <row r="395">
      <c r="C395" s="3"/>
      <c r="E395" s="3"/>
      <c r="K395" s="3"/>
      <c r="L395" s="3"/>
    </row>
    <row r="396">
      <c r="C396" s="3"/>
      <c r="E396" s="3"/>
      <c r="K396" s="3"/>
      <c r="L396" s="3"/>
    </row>
    <row r="397">
      <c r="C397" s="3"/>
      <c r="E397" s="3"/>
      <c r="K397" s="3"/>
      <c r="L397" s="3"/>
    </row>
    <row r="398">
      <c r="C398" s="3"/>
      <c r="E398" s="3"/>
      <c r="K398" s="3"/>
      <c r="L398" s="3"/>
    </row>
    <row r="399">
      <c r="C399" s="3"/>
      <c r="E399" s="3"/>
      <c r="K399" s="3"/>
      <c r="L399" s="3"/>
    </row>
    <row r="400">
      <c r="C400" s="3"/>
      <c r="E400" s="3"/>
      <c r="K400" s="3"/>
      <c r="L400" s="3"/>
    </row>
    <row r="401">
      <c r="C401" s="3"/>
      <c r="E401" s="3"/>
      <c r="K401" s="3"/>
      <c r="L401" s="3"/>
    </row>
    <row r="402">
      <c r="C402" s="3"/>
      <c r="E402" s="3"/>
      <c r="K402" s="3"/>
      <c r="L402" s="3"/>
    </row>
    <row r="403">
      <c r="C403" s="3"/>
      <c r="E403" s="3"/>
      <c r="K403" s="3"/>
      <c r="L403" s="3"/>
    </row>
    <row r="404">
      <c r="C404" s="3"/>
      <c r="E404" s="3"/>
      <c r="K404" s="3"/>
      <c r="L404" s="3"/>
    </row>
    <row r="405">
      <c r="C405" s="3"/>
      <c r="E405" s="3"/>
      <c r="K405" s="3"/>
      <c r="L405" s="3"/>
    </row>
    <row r="406">
      <c r="C406" s="3"/>
      <c r="E406" s="3"/>
      <c r="K406" s="3"/>
      <c r="L406" s="3"/>
    </row>
    <row r="407">
      <c r="C407" s="3"/>
      <c r="E407" s="3"/>
      <c r="K407" s="3"/>
      <c r="L407" s="3"/>
    </row>
    <row r="408">
      <c r="C408" s="3"/>
      <c r="E408" s="3"/>
      <c r="K408" s="3"/>
      <c r="L408" s="3"/>
    </row>
    <row r="409">
      <c r="C409" s="3"/>
      <c r="E409" s="3"/>
      <c r="K409" s="3"/>
      <c r="L409" s="3"/>
    </row>
    <row r="410">
      <c r="C410" s="3"/>
      <c r="E410" s="3"/>
      <c r="K410" s="3"/>
      <c r="L410" s="3"/>
    </row>
    <row r="411">
      <c r="C411" s="3"/>
      <c r="E411" s="3"/>
      <c r="K411" s="3"/>
      <c r="L411" s="3"/>
    </row>
    <row r="412">
      <c r="C412" s="3"/>
      <c r="E412" s="3"/>
      <c r="K412" s="3"/>
      <c r="L412" s="3"/>
    </row>
    <row r="413">
      <c r="C413" s="3"/>
      <c r="E413" s="3"/>
      <c r="K413" s="3"/>
      <c r="L413" s="3"/>
    </row>
    <row r="414">
      <c r="C414" s="3"/>
      <c r="E414" s="3"/>
      <c r="K414" s="3"/>
      <c r="L414" s="3"/>
    </row>
    <row r="415">
      <c r="C415" s="3"/>
      <c r="E415" s="3"/>
      <c r="K415" s="3"/>
      <c r="L415" s="3"/>
    </row>
    <row r="416">
      <c r="C416" s="3"/>
      <c r="E416" s="3"/>
      <c r="K416" s="3"/>
      <c r="L416" s="3"/>
    </row>
    <row r="417">
      <c r="C417" s="3"/>
      <c r="E417" s="3"/>
      <c r="K417" s="3"/>
      <c r="L417" s="3"/>
    </row>
    <row r="418">
      <c r="C418" s="3"/>
      <c r="E418" s="3"/>
      <c r="K418" s="3"/>
      <c r="L418" s="3"/>
    </row>
    <row r="419">
      <c r="C419" s="3"/>
      <c r="E419" s="3"/>
      <c r="K419" s="3"/>
      <c r="L419" s="3"/>
    </row>
    <row r="420">
      <c r="C420" s="3"/>
      <c r="E420" s="3"/>
      <c r="K420" s="3"/>
      <c r="L420" s="3"/>
    </row>
    <row r="421">
      <c r="C421" s="3"/>
      <c r="E421" s="3"/>
      <c r="K421" s="3"/>
      <c r="L421" s="3"/>
    </row>
    <row r="422">
      <c r="C422" s="3"/>
      <c r="E422" s="3"/>
      <c r="K422" s="3"/>
      <c r="L422" s="3"/>
    </row>
    <row r="423">
      <c r="C423" s="3"/>
      <c r="E423" s="3"/>
      <c r="K423" s="3"/>
      <c r="L423" s="3"/>
    </row>
    <row r="424">
      <c r="C424" s="3"/>
      <c r="E424" s="3"/>
      <c r="K424" s="3"/>
      <c r="L424" s="3"/>
    </row>
    <row r="425">
      <c r="C425" s="3"/>
      <c r="E425" s="3"/>
      <c r="K425" s="3"/>
      <c r="L425" s="3"/>
    </row>
    <row r="426">
      <c r="C426" s="3"/>
      <c r="E426" s="3"/>
      <c r="K426" s="3"/>
      <c r="L426" s="3"/>
    </row>
    <row r="427">
      <c r="C427" s="3"/>
      <c r="E427" s="3"/>
      <c r="K427" s="3"/>
      <c r="L427" s="3"/>
    </row>
    <row r="428">
      <c r="C428" s="3"/>
      <c r="E428" s="3"/>
      <c r="K428" s="3"/>
      <c r="L428" s="3"/>
    </row>
    <row r="429">
      <c r="C429" s="3"/>
      <c r="E429" s="3"/>
      <c r="K429" s="3"/>
      <c r="L429" s="3"/>
    </row>
    <row r="430">
      <c r="C430" s="3"/>
      <c r="E430" s="3"/>
      <c r="K430" s="3"/>
      <c r="L430" s="3"/>
    </row>
    <row r="431">
      <c r="C431" s="3"/>
      <c r="E431" s="3"/>
      <c r="K431" s="3"/>
      <c r="L431" s="3"/>
    </row>
    <row r="432">
      <c r="C432" s="3"/>
      <c r="E432" s="3"/>
      <c r="K432" s="3"/>
      <c r="L432" s="3"/>
    </row>
    <row r="433">
      <c r="C433" s="3"/>
      <c r="E433" s="3"/>
      <c r="K433" s="3"/>
      <c r="L433" s="3"/>
    </row>
    <row r="434">
      <c r="C434" s="3"/>
      <c r="E434" s="3"/>
      <c r="K434" s="3"/>
      <c r="L434" s="3"/>
    </row>
    <row r="435">
      <c r="C435" s="3"/>
      <c r="E435" s="3"/>
      <c r="K435" s="3"/>
      <c r="L435" s="3"/>
    </row>
    <row r="436">
      <c r="C436" s="3"/>
      <c r="E436" s="3"/>
      <c r="K436" s="3"/>
      <c r="L436" s="3"/>
    </row>
    <row r="437">
      <c r="C437" s="3"/>
      <c r="E437" s="3"/>
      <c r="K437" s="3"/>
      <c r="L437" s="3"/>
    </row>
    <row r="438">
      <c r="C438" s="3"/>
      <c r="E438" s="3"/>
      <c r="K438" s="3"/>
      <c r="L438" s="3"/>
    </row>
    <row r="439">
      <c r="C439" s="3"/>
      <c r="E439" s="3"/>
      <c r="K439" s="3"/>
      <c r="L439" s="3"/>
    </row>
    <row r="440">
      <c r="C440" s="3"/>
      <c r="E440" s="3"/>
      <c r="K440" s="3"/>
      <c r="L440" s="3"/>
    </row>
    <row r="441">
      <c r="C441" s="3"/>
      <c r="E441" s="3"/>
      <c r="K441" s="3"/>
      <c r="L441" s="3"/>
    </row>
    <row r="442">
      <c r="C442" s="3"/>
      <c r="E442" s="3"/>
      <c r="K442" s="3"/>
      <c r="L442" s="3"/>
    </row>
    <row r="443">
      <c r="C443" s="3"/>
      <c r="E443" s="3"/>
      <c r="K443" s="3"/>
      <c r="L443" s="3"/>
    </row>
    <row r="444">
      <c r="C444" s="3"/>
      <c r="E444" s="3"/>
      <c r="K444" s="3"/>
      <c r="L444" s="3"/>
    </row>
    <row r="445">
      <c r="C445" s="3"/>
      <c r="E445" s="3"/>
      <c r="K445" s="3"/>
      <c r="L445" s="3"/>
    </row>
    <row r="446">
      <c r="C446" s="3"/>
      <c r="E446" s="3"/>
      <c r="K446" s="3"/>
      <c r="L446" s="3"/>
    </row>
    <row r="447">
      <c r="C447" s="3"/>
      <c r="E447" s="3"/>
      <c r="K447" s="3"/>
      <c r="L447" s="3"/>
    </row>
    <row r="448">
      <c r="C448" s="3"/>
      <c r="E448" s="3"/>
      <c r="K448" s="3"/>
      <c r="L448" s="3"/>
    </row>
    <row r="449">
      <c r="C449" s="3"/>
      <c r="E449" s="3"/>
      <c r="K449" s="3"/>
      <c r="L449" s="3"/>
    </row>
    <row r="450">
      <c r="C450" s="3"/>
      <c r="E450" s="3"/>
      <c r="K450" s="3"/>
      <c r="L450" s="3"/>
    </row>
    <row r="451">
      <c r="C451" s="3"/>
      <c r="E451" s="3"/>
      <c r="K451" s="3"/>
      <c r="L451" s="3"/>
    </row>
    <row r="452">
      <c r="C452" s="3"/>
      <c r="E452" s="3"/>
      <c r="K452" s="3"/>
      <c r="L452" s="3"/>
    </row>
    <row r="453">
      <c r="C453" s="3"/>
      <c r="E453" s="3"/>
      <c r="K453" s="3"/>
      <c r="L453" s="3"/>
    </row>
    <row r="454">
      <c r="C454" s="3"/>
      <c r="E454" s="3"/>
      <c r="K454" s="3"/>
      <c r="L454" s="3"/>
    </row>
    <row r="455">
      <c r="C455" s="3"/>
      <c r="E455" s="3"/>
      <c r="K455" s="3"/>
      <c r="L455" s="3"/>
    </row>
    <row r="456">
      <c r="C456" s="3"/>
      <c r="E456" s="3"/>
      <c r="K456" s="3"/>
      <c r="L456" s="3"/>
    </row>
    <row r="457">
      <c r="C457" s="3"/>
      <c r="E457" s="3"/>
      <c r="K457" s="3"/>
      <c r="L457" s="3"/>
    </row>
    <row r="458">
      <c r="C458" s="3"/>
      <c r="E458" s="3"/>
      <c r="K458" s="3"/>
      <c r="L458" s="3"/>
    </row>
    <row r="459">
      <c r="C459" s="3"/>
      <c r="E459" s="3"/>
      <c r="K459" s="3"/>
      <c r="L459" s="3"/>
    </row>
    <row r="460">
      <c r="C460" s="3"/>
      <c r="E460" s="3"/>
      <c r="K460" s="3"/>
      <c r="L460" s="3"/>
    </row>
    <row r="461">
      <c r="C461" s="3"/>
      <c r="E461" s="3"/>
      <c r="K461" s="3"/>
      <c r="L461" s="3"/>
    </row>
    <row r="462">
      <c r="C462" s="3"/>
      <c r="E462" s="3"/>
      <c r="K462" s="3"/>
      <c r="L462" s="3"/>
    </row>
    <row r="463">
      <c r="C463" s="3"/>
      <c r="E463" s="3"/>
      <c r="K463" s="3"/>
      <c r="L463" s="3"/>
    </row>
    <row r="464">
      <c r="C464" s="3"/>
      <c r="E464" s="3"/>
      <c r="K464" s="3"/>
      <c r="L464" s="3"/>
    </row>
    <row r="465">
      <c r="C465" s="3"/>
      <c r="E465" s="3"/>
      <c r="K465" s="3"/>
      <c r="L465" s="3"/>
    </row>
    <row r="466">
      <c r="C466" s="3"/>
      <c r="E466" s="3"/>
      <c r="K466" s="3"/>
      <c r="L466" s="3"/>
    </row>
    <row r="467">
      <c r="C467" s="3"/>
      <c r="E467" s="3"/>
      <c r="K467" s="3"/>
      <c r="L467" s="3"/>
    </row>
    <row r="468">
      <c r="C468" s="3"/>
      <c r="E468" s="3"/>
      <c r="K468" s="3"/>
      <c r="L468" s="3"/>
    </row>
    <row r="469">
      <c r="C469" s="3"/>
      <c r="E469" s="3"/>
      <c r="K469" s="3"/>
      <c r="L469" s="3"/>
    </row>
    <row r="470">
      <c r="C470" s="3"/>
      <c r="E470" s="3"/>
      <c r="K470" s="3"/>
      <c r="L470" s="3"/>
    </row>
    <row r="471">
      <c r="C471" s="3"/>
      <c r="E471" s="3"/>
      <c r="K471" s="3"/>
      <c r="L471" s="3"/>
    </row>
    <row r="472">
      <c r="C472" s="3"/>
      <c r="E472" s="3"/>
      <c r="K472" s="3"/>
      <c r="L472" s="3"/>
    </row>
    <row r="473">
      <c r="C473" s="3"/>
      <c r="E473" s="3"/>
      <c r="K473" s="3"/>
      <c r="L473" s="3"/>
    </row>
    <row r="474">
      <c r="C474" s="3"/>
      <c r="E474" s="3"/>
      <c r="K474" s="3"/>
      <c r="L474" s="3"/>
    </row>
    <row r="475">
      <c r="C475" s="3"/>
      <c r="E475" s="3"/>
      <c r="K475" s="3"/>
      <c r="L475" s="3"/>
    </row>
    <row r="476">
      <c r="C476" s="3"/>
      <c r="E476" s="3"/>
      <c r="K476" s="3"/>
      <c r="L476" s="3"/>
    </row>
    <row r="477">
      <c r="C477" s="3"/>
      <c r="E477" s="3"/>
      <c r="K477" s="3"/>
      <c r="L477" s="3"/>
    </row>
    <row r="478">
      <c r="C478" s="3"/>
      <c r="E478" s="3"/>
      <c r="K478" s="3"/>
      <c r="L478" s="3"/>
    </row>
    <row r="479">
      <c r="C479" s="3"/>
      <c r="E479" s="3"/>
      <c r="K479" s="3"/>
      <c r="L479" s="3"/>
    </row>
    <row r="480">
      <c r="C480" s="3"/>
      <c r="E480" s="3"/>
      <c r="K480" s="3"/>
      <c r="L480" s="3"/>
    </row>
    <row r="481">
      <c r="C481" s="3"/>
      <c r="E481" s="3"/>
      <c r="K481" s="3"/>
      <c r="L481" s="3"/>
    </row>
    <row r="482">
      <c r="C482" s="3"/>
      <c r="E482" s="3"/>
      <c r="K482" s="3"/>
      <c r="L482" s="3"/>
    </row>
    <row r="483">
      <c r="C483" s="3"/>
      <c r="E483" s="3"/>
      <c r="K483" s="3"/>
      <c r="L483" s="3"/>
    </row>
    <row r="484">
      <c r="C484" s="3"/>
      <c r="E484" s="3"/>
      <c r="K484" s="3"/>
      <c r="L484" s="3"/>
    </row>
    <row r="485">
      <c r="C485" s="3"/>
      <c r="E485" s="3"/>
      <c r="K485" s="3"/>
      <c r="L485" s="3"/>
    </row>
    <row r="486">
      <c r="C486" s="3"/>
      <c r="E486" s="3"/>
      <c r="K486" s="3"/>
      <c r="L486" s="3"/>
    </row>
    <row r="487">
      <c r="C487" s="3"/>
      <c r="E487" s="3"/>
      <c r="K487" s="3"/>
      <c r="L487" s="3"/>
    </row>
    <row r="488">
      <c r="C488" s="3"/>
      <c r="E488" s="3"/>
      <c r="K488" s="3"/>
      <c r="L488" s="3"/>
    </row>
    <row r="489">
      <c r="C489" s="3"/>
      <c r="E489" s="3"/>
      <c r="K489" s="3"/>
      <c r="L489" s="3"/>
    </row>
    <row r="490">
      <c r="C490" s="3"/>
      <c r="E490" s="3"/>
      <c r="K490" s="3"/>
      <c r="L490" s="3"/>
    </row>
    <row r="491">
      <c r="C491" s="3"/>
      <c r="E491" s="3"/>
      <c r="K491" s="3"/>
      <c r="L491" s="3"/>
    </row>
    <row r="492">
      <c r="C492" s="3"/>
      <c r="E492" s="3"/>
      <c r="K492" s="3"/>
      <c r="L492" s="3"/>
    </row>
    <row r="493">
      <c r="C493" s="3"/>
      <c r="E493" s="3"/>
      <c r="K493" s="3"/>
      <c r="L493" s="3"/>
    </row>
    <row r="494">
      <c r="C494" s="3"/>
      <c r="E494" s="3"/>
      <c r="K494" s="3"/>
      <c r="L494" s="3"/>
    </row>
    <row r="495">
      <c r="C495" s="3"/>
      <c r="E495" s="3"/>
      <c r="K495" s="3"/>
      <c r="L495" s="3"/>
    </row>
    <row r="496">
      <c r="C496" s="3"/>
      <c r="E496" s="3"/>
      <c r="K496" s="3"/>
      <c r="L496" s="3"/>
    </row>
    <row r="497">
      <c r="C497" s="3"/>
      <c r="E497" s="3"/>
      <c r="K497" s="3"/>
      <c r="L497" s="3"/>
    </row>
    <row r="498">
      <c r="C498" s="3"/>
      <c r="E498" s="3"/>
      <c r="K498" s="3"/>
      <c r="L498" s="3"/>
    </row>
    <row r="499">
      <c r="C499" s="3"/>
      <c r="E499" s="3"/>
      <c r="K499" s="3"/>
      <c r="L499" s="3"/>
    </row>
    <row r="500">
      <c r="C500" s="3"/>
      <c r="E500" s="3"/>
      <c r="K500" s="3"/>
      <c r="L500" s="3"/>
    </row>
    <row r="501">
      <c r="C501" s="3"/>
      <c r="E501" s="3"/>
      <c r="K501" s="3"/>
      <c r="L501" s="3"/>
    </row>
    <row r="502">
      <c r="C502" s="3"/>
      <c r="E502" s="3"/>
      <c r="K502" s="3"/>
      <c r="L502" s="3"/>
    </row>
    <row r="503">
      <c r="C503" s="3"/>
      <c r="E503" s="3"/>
      <c r="K503" s="3"/>
      <c r="L503" s="3"/>
    </row>
    <row r="504">
      <c r="C504" s="3"/>
      <c r="E504" s="3"/>
      <c r="K504" s="3"/>
      <c r="L504" s="3"/>
    </row>
    <row r="505">
      <c r="C505" s="3"/>
      <c r="E505" s="3"/>
      <c r="K505" s="3"/>
      <c r="L505" s="3"/>
    </row>
    <row r="506">
      <c r="C506" s="3"/>
      <c r="E506" s="3"/>
      <c r="K506" s="3"/>
      <c r="L506" s="3"/>
    </row>
    <row r="507">
      <c r="C507" s="3"/>
      <c r="E507" s="3"/>
      <c r="K507" s="3"/>
      <c r="L507" s="3"/>
    </row>
    <row r="508">
      <c r="C508" s="3"/>
      <c r="E508" s="3"/>
      <c r="K508" s="3"/>
      <c r="L508" s="3"/>
    </row>
    <row r="509">
      <c r="C509" s="3"/>
      <c r="E509" s="3"/>
      <c r="K509" s="3"/>
      <c r="L509" s="3"/>
    </row>
    <row r="510">
      <c r="C510" s="3"/>
      <c r="E510" s="3"/>
      <c r="K510" s="3"/>
      <c r="L510" s="3"/>
    </row>
    <row r="511">
      <c r="C511" s="3"/>
      <c r="E511" s="3"/>
      <c r="K511" s="3"/>
      <c r="L511" s="3"/>
    </row>
    <row r="512">
      <c r="C512" s="3"/>
      <c r="E512" s="3"/>
      <c r="K512" s="3"/>
      <c r="L512" s="3"/>
    </row>
    <row r="513">
      <c r="C513" s="3"/>
      <c r="E513" s="3"/>
      <c r="K513" s="3"/>
      <c r="L513" s="3"/>
    </row>
    <row r="514">
      <c r="C514" s="3"/>
      <c r="E514" s="3"/>
      <c r="K514" s="3"/>
      <c r="L514" s="3"/>
    </row>
    <row r="515">
      <c r="C515" s="3"/>
      <c r="E515" s="3"/>
      <c r="K515" s="3"/>
      <c r="L515" s="3"/>
    </row>
    <row r="516">
      <c r="C516" s="3"/>
      <c r="E516" s="3"/>
      <c r="K516" s="3"/>
      <c r="L516" s="3"/>
    </row>
    <row r="517">
      <c r="C517" s="3"/>
      <c r="E517" s="3"/>
      <c r="K517" s="3"/>
      <c r="L517" s="3"/>
    </row>
    <row r="518">
      <c r="C518" s="3"/>
      <c r="E518" s="3"/>
      <c r="K518" s="3"/>
      <c r="L518" s="3"/>
    </row>
    <row r="519">
      <c r="C519" s="3"/>
      <c r="E519" s="3"/>
      <c r="K519" s="3"/>
      <c r="L519" s="3"/>
    </row>
    <row r="520">
      <c r="C520" s="3"/>
      <c r="E520" s="3"/>
      <c r="K520" s="3"/>
      <c r="L520" s="3"/>
    </row>
    <row r="521">
      <c r="C521" s="3"/>
      <c r="E521" s="3"/>
      <c r="K521" s="3"/>
      <c r="L521" s="3"/>
    </row>
    <row r="522">
      <c r="C522" s="3"/>
      <c r="E522" s="3"/>
      <c r="K522" s="3"/>
      <c r="L522" s="3"/>
    </row>
    <row r="523">
      <c r="C523" s="3"/>
      <c r="E523" s="3"/>
      <c r="K523" s="3"/>
      <c r="L523" s="3"/>
    </row>
    <row r="524">
      <c r="C524" s="3"/>
      <c r="E524" s="3"/>
      <c r="K524" s="3"/>
      <c r="L524" s="3"/>
    </row>
    <row r="525">
      <c r="C525" s="3"/>
      <c r="E525" s="3"/>
      <c r="K525" s="3"/>
      <c r="L525" s="3"/>
    </row>
    <row r="526">
      <c r="C526" s="3"/>
      <c r="E526" s="3"/>
      <c r="K526" s="3"/>
      <c r="L526" s="3"/>
    </row>
    <row r="527">
      <c r="C527" s="3"/>
      <c r="E527" s="3"/>
      <c r="K527" s="3"/>
      <c r="L527" s="3"/>
    </row>
    <row r="528">
      <c r="C528" s="3"/>
      <c r="E528" s="3"/>
      <c r="K528" s="3"/>
      <c r="L528" s="3"/>
    </row>
    <row r="529">
      <c r="C529" s="3"/>
      <c r="E529" s="3"/>
      <c r="K529" s="3"/>
      <c r="L529" s="3"/>
    </row>
    <row r="530">
      <c r="C530" s="3"/>
      <c r="E530" s="3"/>
      <c r="K530" s="3"/>
      <c r="L530" s="3"/>
    </row>
    <row r="531">
      <c r="C531" s="3"/>
      <c r="E531" s="3"/>
      <c r="K531" s="3"/>
      <c r="L531" s="3"/>
    </row>
    <row r="532">
      <c r="C532" s="3"/>
      <c r="E532" s="3"/>
      <c r="K532" s="3"/>
      <c r="L532" s="3"/>
    </row>
    <row r="533">
      <c r="C533" s="3"/>
      <c r="E533" s="3"/>
      <c r="K533" s="3"/>
      <c r="L533" s="3"/>
    </row>
    <row r="534">
      <c r="C534" s="3"/>
      <c r="E534" s="3"/>
      <c r="K534" s="3"/>
      <c r="L534" s="3"/>
    </row>
    <row r="535">
      <c r="C535" s="3"/>
      <c r="E535" s="3"/>
      <c r="K535" s="3"/>
      <c r="L535" s="3"/>
    </row>
    <row r="536">
      <c r="C536" s="3"/>
      <c r="E536" s="3"/>
      <c r="K536" s="3"/>
      <c r="L536" s="3"/>
    </row>
    <row r="537">
      <c r="C537" s="3"/>
      <c r="E537" s="3"/>
      <c r="K537" s="3"/>
      <c r="L537" s="3"/>
    </row>
    <row r="538">
      <c r="C538" s="3"/>
      <c r="E538" s="3"/>
      <c r="K538" s="3"/>
      <c r="L538" s="3"/>
    </row>
    <row r="539">
      <c r="C539" s="3"/>
      <c r="E539" s="3"/>
      <c r="K539" s="3"/>
      <c r="L539" s="3"/>
    </row>
    <row r="540">
      <c r="C540" s="3"/>
      <c r="E540" s="3"/>
      <c r="K540" s="3"/>
      <c r="L540" s="3"/>
    </row>
    <row r="541">
      <c r="C541" s="3"/>
      <c r="E541" s="3"/>
      <c r="K541" s="3"/>
      <c r="L541" s="3"/>
    </row>
    <row r="542">
      <c r="C542" s="3"/>
      <c r="E542" s="3"/>
      <c r="K542" s="3"/>
      <c r="L542" s="3"/>
    </row>
    <row r="543">
      <c r="C543" s="3"/>
      <c r="E543" s="3"/>
      <c r="K543" s="3"/>
      <c r="L543" s="3"/>
    </row>
    <row r="544">
      <c r="C544" s="3"/>
      <c r="E544" s="3"/>
      <c r="K544" s="3"/>
      <c r="L544" s="3"/>
    </row>
    <row r="545">
      <c r="C545" s="3"/>
      <c r="E545" s="3"/>
      <c r="K545" s="3"/>
      <c r="L545" s="3"/>
    </row>
    <row r="546">
      <c r="C546" s="3"/>
      <c r="E546" s="3"/>
      <c r="K546" s="3"/>
      <c r="L546" s="3"/>
    </row>
    <row r="547">
      <c r="C547" s="3"/>
      <c r="E547" s="3"/>
      <c r="K547" s="3"/>
      <c r="L547" s="3"/>
    </row>
    <row r="548">
      <c r="C548" s="3"/>
      <c r="E548" s="3"/>
      <c r="K548" s="3"/>
      <c r="L548" s="3"/>
    </row>
    <row r="549">
      <c r="C549" s="3"/>
      <c r="E549" s="3"/>
      <c r="K549" s="3"/>
      <c r="L549" s="3"/>
    </row>
    <row r="550">
      <c r="C550" s="3"/>
      <c r="E550" s="3"/>
      <c r="K550" s="3"/>
      <c r="L550" s="3"/>
    </row>
    <row r="551">
      <c r="C551" s="3"/>
      <c r="E551" s="3"/>
      <c r="K551" s="3"/>
      <c r="L551" s="3"/>
    </row>
    <row r="552">
      <c r="C552" s="3"/>
      <c r="E552" s="3"/>
      <c r="K552" s="3"/>
      <c r="L552" s="3"/>
    </row>
    <row r="553">
      <c r="C553" s="3"/>
      <c r="E553" s="3"/>
      <c r="K553" s="3"/>
      <c r="L553" s="3"/>
    </row>
    <row r="554">
      <c r="C554" s="3"/>
      <c r="E554" s="3"/>
      <c r="K554" s="3"/>
      <c r="L554" s="3"/>
    </row>
    <row r="555">
      <c r="C555" s="3"/>
      <c r="E555" s="3"/>
      <c r="K555" s="3"/>
      <c r="L555" s="3"/>
    </row>
    <row r="556">
      <c r="C556" s="3"/>
      <c r="E556" s="3"/>
      <c r="K556" s="3"/>
      <c r="L556" s="3"/>
    </row>
    <row r="557">
      <c r="C557" s="3"/>
      <c r="E557" s="3"/>
      <c r="K557" s="3"/>
      <c r="L557" s="3"/>
    </row>
    <row r="558">
      <c r="C558" s="3"/>
      <c r="E558" s="3"/>
      <c r="K558" s="3"/>
      <c r="L558" s="3"/>
    </row>
    <row r="559">
      <c r="C559" s="3"/>
      <c r="E559" s="3"/>
      <c r="K559" s="3"/>
      <c r="L559" s="3"/>
    </row>
    <row r="560">
      <c r="C560" s="3"/>
      <c r="E560" s="3"/>
      <c r="K560" s="3"/>
      <c r="L560" s="3"/>
    </row>
    <row r="561">
      <c r="C561" s="3"/>
      <c r="E561" s="3"/>
      <c r="K561" s="3"/>
      <c r="L561" s="3"/>
    </row>
    <row r="562">
      <c r="C562" s="3"/>
      <c r="E562" s="3"/>
      <c r="K562" s="3"/>
      <c r="L562" s="3"/>
    </row>
    <row r="563">
      <c r="C563" s="3"/>
      <c r="E563" s="3"/>
      <c r="K563" s="3"/>
      <c r="L563" s="3"/>
    </row>
    <row r="564">
      <c r="C564" s="3"/>
      <c r="E564" s="3"/>
      <c r="K564" s="3"/>
      <c r="L564" s="3"/>
    </row>
    <row r="565">
      <c r="C565" s="3"/>
      <c r="E565" s="3"/>
      <c r="K565" s="3"/>
      <c r="L565" s="3"/>
    </row>
    <row r="566">
      <c r="C566" s="3"/>
      <c r="E566" s="3"/>
      <c r="K566" s="3"/>
      <c r="L566" s="3"/>
    </row>
    <row r="567">
      <c r="C567" s="3"/>
      <c r="E567" s="3"/>
      <c r="K567" s="3"/>
      <c r="L567" s="3"/>
    </row>
    <row r="568">
      <c r="C568" s="3"/>
      <c r="E568" s="3"/>
      <c r="K568" s="3"/>
      <c r="L568" s="3"/>
    </row>
    <row r="569">
      <c r="C569" s="3"/>
      <c r="E569" s="3"/>
      <c r="K569" s="3"/>
      <c r="L569" s="3"/>
    </row>
    <row r="570">
      <c r="C570" s="3"/>
      <c r="E570" s="3"/>
      <c r="K570" s="3"/>
      <c r="L570" s="3"/>
    </row>
    <row r="571">
      <c r="C571" s="3"/>
      <c r="E571" s="3"/>
      <c r="K571" s="3"/>
      <c r="L571" s="3"/>
    </row>
    <row r="572">
      <c r="C572" s="3"/>
      <c r="E572" s="3"/>
      <c r="K572" s="3"/>
      <c r="L572" s="3"/>
    </row>
    <row r="573">
      <c r="C573" s="3"/>
      <c r="E573" s="3"/>
      <c r="K573" s="3"/>
      <c r="L573" s="3"/>
    </row>
    <row r="574">
      <c r="C574" s="3"/>
      <c r="E574" s="3"/>
      <c r="K574" s="3"/>
      <c r="L574" s="3"/>
    </row>
    <row r="575">
      <c r="C575" s="3"/>
      <c r="E575" s="3"/>
      <c r="K575" s="3"/>
      <c r="L575" s="3"/>
    </row>
    <row r="576">
      <c r="C576" s="3"/>
      <c r="E576" s="3"/>
      <c r="K576" s="3"/>
      <c r="L576" s="3"/>
    </row>
    <row r="577">
      <c r="C577" s="3"/>
      <c r="E577" s="3"/>
      <c r="K577" s="3"/>
      <c r="L577" s="3"/>
    </row>
    <row r="578">
      <c r="C578" s="3"/>
      <c r="E578" s="3"/>
      <c r="K578" s="3"/>
      <c r="L578" s="3"/>
    </row>
    <row r="579">
      <c r="C579" s="3"/>
      <c r="E579" s="3"/>
      <c r="K579" s="3"/>
      <c r="L579" s="3"/>
    </row>
    <row r="580">
      <c r="C580" s="3"/>
      <c r="E580" s="3"/>
      <c r="K580" s="3"/>
      <c r="L580" s="3"/>
    </row>
    <row r="581">
      <c r="C581" s="3"/>
      <c r="E581" s="3"/>
      <c r="K581" s="3"/>
      <c r="L581" s="3"/>
    </row>
    <row r="582">
      <c r="C582" s="3"/>
      <c r="E582" s="3"/>
      <c r="K582" s="3"/>
      <c r="L582" s="3"/>
    </row>
    <row r="583">
      <c r="C583" s="3"/>
      <c r="E583" s="3"/>
      <c r="K583" s="3"/>
      <c r="L583" s="3"/>
    </row>
    <row r="584">
      <c r="C584" s="3"/>
      <c r="E584" s="3"/>
      <c r="K584" s="3"/>
      <c r="L584" s="3"/>
    </row>
    <row r="585">
      <c r="C585" s="3"/>
      <c r="E585" s="3"/>
      <c r="K585" s="3"/>
      <c r="L585" s="3"/>
    </row>
    <row r="586">
      <c r="C586" s="3"/>
      <c r="E586" s="3"/>
      <c r="K586" s="3"/>
      <c r="L586" s="3"/>
    </row>
    <row r="587">
      <c r="C587" s="3"/>
      <c r="E587" s="3"/>
      <c r="K587" s="3"/>
      <c r="L587" s="3"/>
    </row>
    <row r="588">
      <c r="C588" s="3"/>
      <c r="E588" s="3"/>
      <c r="K588" s="3"/>
      <c r="L588" s="3"/>
    </row>
    <row r="589">
      <c r="C589" s="3"/>
      <c r="E589" s="3"/>
      <c r="K589" s="3"/>
      <c r="L589" s="3"/>
    </row>
    <row r="590">
      <c r="C590" s="3"/>
      <c r="E590" s="3"/>
      <c r="K590" s="3"/>
      <c r="L590" s="3"/>
    </row>
    <row r="591">
      <c r="C591" s="3"/>
      <c r="E591" s="3"/>
      <c r="K591" s="3"/>
      <c r="L591" s="3"/>
    </row>
    <row r="592">
      <c r="C592" s="3"/>
      <c r="E592" s="3"/>
      <c r="K592" s="3"/>
      <c r="L592" s="3"/>
    </row>
    <row r="593">
      <c r="C593" s="3"/>
      <c r="E593" s="3"/>
      <c r="K593" s="3"/>
      <c r="L593" s="3"/>
    </row>
    <row r="594">
      <c r="C594" s="3"/>
      <c r="E594" s="3"/>
      <c r="K594" s="3"/>
      <c r="L594" s="3"/>
    </row>
    <row r="595">
      <c r="C595" s="3"/>
      <c r="E595" s="3"/>
      <c r="K595" s="3"/>
      <c r="L595" s="3"/>
    </row>
    <row r="596">
      <c r="C596" s="3"/>
      <c r="E596" s="3"/>
      <c r="K596" s="3"/>
      <c r="L596" s="3"/>
    </row>
    <row r="597">
      <c r="C597" s="3"/>
      <c r="E597" s="3"/>
      <c r="K597" s="3"/>
      <c r="L597" s="3"/>
    </row>
    <row r="598">
      <c r="C598" s="3"/>
      <c r="E598" s="3"/>
      <c r="K598" s="3"/>
      <c r="L598" s="3"/>
    </row>
    <row r="599">
      <c r="C599" s="3"/>
      <c r="E599" s="3"/>
      <c r="K599" s="3"/>
      <c r="L599" s="3"/>
    </row>
    <row r="600">
      <c r="C600" s="3"/>
      <c r="E600" s="3"/>
      <c r="K600" s="3"/>
      <c r="L600" s="3"/>
    </row>
    <row r="601">
      <c r="C601" s="3"/>
      <c r="E601" s="3"/>
      <c r="K601" s="3"/>
      <c r="L601" s="3"/>
    </row>
    <row r="602">
      <c r="C602" s="3"/>
      <c r="E602" s="3"/>
      <c r="K602" s="3"/>
      <c r="L602" s="3"/>
    </row>
    <row r="603">
      <c r="C603" s="3"/>
      <c r="E603" s="3"/>
      <c r="K603" s="3"/>
      <c r="L603" s="3"/>
    </row>
    <row r="604">
      <c r="C604" s="3"/>
      <c r="E604" s="3"/>
      <c r="K604" s="3"/>
      <c r="L604" s="3"/>
    </row>
    <row r="605">
      <c r="C605" s="3"/>
      <c r="E605" s="3"/>
      <c r="K605" s="3"/>
      <c r="L605" s="3"/>
    </row>
    <row r="606">
      <c r="C606" s="3"/>
      <c r="E606" s="3"/>
      <c r="K606" s="3"/>
      <c r="L606" s="3"/>
    </row>
    <row r="607">
      <c r="C607" s="3"/>
      <c r="E607" s="3"/>
      <c r="K607" s="3"/>
      <c r="L607" s="3"/>
    </row>
    <row r="608">
      <c r="C608" s="3"/>
      <c r="E608" s="3"/>
      <c r="K608" s="3"/>
      <c r="L608" s="3"/>
    </row>
    <row r="609">
      <c r="C609" s="3"/>
      <c r="E609" s="3"/>
      <c r="K609" s="3"/>
      <c r="L609" s="3"/>
    </row>
    <row r="610">
      <c r="C610" s="3"/>
      <c r="E610" s="3"/>
      <c r="K610" s="3"/>
      <c r="L610" s="3"/>
    </row>
    <row r="611">
      <c r="C611" s="3"/>
      <c r="E611" s="3"/>
      <c r="K611" s="3"/>
      <c r="L611" s="3"/>
    </row>
    <row r="612">
      <c r="C612" s="3"/>
      <c r="E612" s="3"/>
      <c r="K612" s="3"/>
      <c r="L612" s="3"/>
    </row>
    <row r="613">
      <c r="C613" s="3"/>
      <c r="E613" s="3"/>
      <c r="K613" s="3"/>
      <c r="L613" s="3"/>
    </row>
    <row r="614">
      <c r="C614" s="3"/>
      <c r="E614" s="3"/>
      <c r="K614" s="3"/>
      <c r="L614" s="3"/>
    </row>
    <row r="615">
      <c r="C615" s="3"/>
      <c r="E615" s="3"/>
      <c r="K615" s="3"/>
      <c r="L615" s="3"/>
    </row>
    <row r="616">
      <c r="C616" s="3"/>
      <c r="E616" s="3"/>
      <c r="K616" s="3"/>
      <c r="L616" s="3"/>
    </row>
    <row r="617">
      <c r="C617" s="3"/>
      <c r="E617" s="3"/>
      <c r="K617" s="3"/>
      <c r="L617" s="3"/>
    </row>
    <row r="618">
      <c r="C618" s="3"/>
      <c r="E618" s="3"/>
      <c r="K618" s="3"/>
      <c r="L618" s="3"/>
    </row>
    <row r="619">
      <c r="C619" s="3"/>
      <c r="E619" s="3"/>
      <c r="K619" s="3"/>
      <c r="L619" s="3"/>
    </row>
    <row r="620">
      <c r="C620" s="3"/>
      <c r="E620" s="3"/>
      <c r="K620" s="3"/>
      <c r="L620" s="3"/>
    </row>
    <row r="621">
      <c r="C621" s="3"/>
      <c r="E621" s="3"/>
      <c r="K621" s="3"/>
      <c r="L621" s="3"/>
    </row>
    <row r="622">
      <c r="C622" s="3"/>
      <c r="E622" s="3"/>
      <c r="K622" s="3"/>
      <c r="L622" s="3"/>
    </row>
    <row r="623">
      <c r="C623" s="3"/>
      <c r="E623" s="3"/>
      <c r="K623" s="3"/>
      <c r="L623" s="3"/>
    </row>
    <row r="624">
      <c r="C624" s="3"/>
      <c r="E624" s="3"/>
      <c r="K624" s="3"/>
      <c r="L624" s="3"/>
    </row>
    <row r="625">
      <c r="C625" s="3"/>
      <c r="E625" s="3"/>
      <c r="K625" s="3"/>
      <c r="L625" s="3"/>
    </row>
    <row r="626">
      <c r="C626" s="3"/>
      <c r="E626" s="3"/>
      <c r="K626" s="3"/>
      <c r="L626" s="3"/>
    </row>
    <row r="627">
      <c r="C627" s="3"/>
      <c r="E627" s="3"/>
      <c r="K627" s="3"/>
      <c r="L627" s="3"/>
    </row>
    <row r="628">
      <c r="C628" s="3"/>
      <c r="E628" s="3"/>
      <c r="K628" s="3"/>
      <c r="L628" s="3"/>
    </row>
    <row r="629">
      <c r="C629" s="3"/>
      <c r="E629" s="3"/>
      <c r="K629" s="3"/>
      <c r="L629" s="3"/>
    </row>
    <row r="630">
      <c r="C630" s="3"/>
      <c r="E630" s="3"/>
      <c r="K630" s="3"/>
      <c r="L630" s="3"/>
    </row>
    <row r="631">
      <c r="C631" s="3"/>
      <c r="E631" s="3"/>
      <c r="K631" s="3"/>
      <c r="L631" s="3"/>
    </row>
    <row r="632">
      <c r="C632" s="3"/>
      <c r="E632" s="3"/>
      <c r="K632" s="3"/>
      <c r="L632" s="3"/>
    </row>
    <row r="633">
      <c r="C633" s="3"/>
      <c r="E633" s="3"/>
      <c r="K633" s="3"/>
      <c r="L633" s="3"/>
    </row>
    <row r="634">
      <c r="C634" s="3"/>
      <c r="E634" s="3"/>
      <c r="K634" s="3"/>
      <c r="L634" s="3"/>
    </row>
    <row r="635">
      <c r="C635" s="3"/>
      <c r="E635" s="3"/>
      <c r="K635" s="3"/>
      <c r="L635" s="3"/>
    </row>
    <row r="636">
      <c r="C636" s="3"/>
      <c r="E636" s="3"/>
      <c r="K636" s="3"/>
      <c r="L636" s="3"/>
    </row>
    <row r="637">
      <c r="C637" s="3"/>
      <c r="E637" s="3"/>
      <c r="K637" s="3"/>
      <c r="L637" s="3"/>
    </row>
    <row r="638">
      <c r="C638" s="3"/>
      <c r="E638" s="3"/>
      <c r="K638" s="3"/>
      <c r="L638" s="3"/>
    </row>
    <row r="639">
      <c r="C639" s="3"/>
      <c r="E639" s="3"/>
      <c r="K639" s="3"/>
      <c r="L639" s="3"/>
    </row>
    <row r="640">
      <c r="C640" s="3"/>
      <c r="E640" s="3"/>
      <c r="K640" s="3"/>
      <c r="L640" s="3"/>
    </row>
    <row r="641">
      <c r="C641" s="3"/>
      <c r="E641" s="3"/>
      <c r="K641" s="3"/>
      <c r="L641" s="3"/>
    </row>
    <row r="642">
      <c r="C642" s="3"/>
      <c r="E642" s="3"/>
      <c r="K642" s="3"/>
      <c r="L642" s="3"/>
    </row>
    <row r="643">
      <c r="C643" s="3"/>
      <c r="E643" s="3"/>
      <c r="K643" s="3"/>
      <c r="L643" s="3"/>
    </row>
    <row r="644">
      <c r="C644" s="3"/>
      <c r="E644" s="3"/>
      <c r="K644" s="3"/>
      <c r="L644" s="3"/>
    </row>
    <row r="645">
      <c r="C645" s="3"/>
      <c r="E645" s="3"/>
      <c r="K645" s="3"/>
      <c r="L645" s="3"/>
    </row>
    <row r="646">
      <c r="C646" s="3"/>
      <c r="E646" s="3"/>
      <c r="K646" s="3"/>
      <c r="L646" s="3"/>
    </row>
    <row r="647">
      <c r="C647" s="3"/>
      <c r="E647" s="3"/>
      <c r="K647" s="3"/>
      <c r="L647" s="3"/>
    </row>
    <row r="648">
      <c r="C648" s="3"/>
      <c r="E648" s="3"/>
      <c r="K648" s="3"/>
      <c r="L648" s="3"/>
    </row>
    <row r="649">
      <c r="C649" s="3"/>
      <c r="E649" s="3"/>
      <c r="K649" s="3"/>
      <c r="L649" s="3"/>
    </row>
    <row r="650">
      <c r="C650" s="3"/>
      <c r="E650" s="3"/>
      <c r="K650" s="3"/>
      <c r="L650" s="3"/>
    </row>
    <row r="651">
      <c r="C651" s="3"/>
      <c r="E651" s="3"/>
      <c r="K651" s="3"/>
      <c r="L651" s="3"/>
    </row>
    <row r="652">
      <c r="C652" s="3"/>
      <c r="E652" s="3"/>
      <c r="K652" s="3"/>
      <c r="L652" s="3"/>
    </row>
    <row r="653">
      <c r="C653" s="3"/>
      <c r="E653" s="3"/>
      <c r="K653" s="3"/>
      <c r="L653" s="3"/>
    </row>
    <row r="654">
      <c r="C654" s="3"/>
      <c r="E654" s="3"/>
      <c r="K654" s="3"/>
      <c r="L654" s="3"/>
    </row>
    <row r="655">
      <c r="C655" s="3"/>
      <c r="E655" s="3"/>
      <c r="K655" s="3"/>
      <c r="L655" s="3"/>
    </row>
    <row r="656">
      <c r="C656" s="3"/>
      <c r="E656" s="3"/>
      <c r="K656" s="3"/>
      <c r="L656" s="3"/>
    </row>
    <row r="657">
      <c r="C657" s="3"/>
      <c r="E657" s="3"/>
      <c r="K657" s="3"/>
      <c r="L657" s="3"/>
    </row>
    <row r="658">
      <c r="C658" s="3"/>
      <c r="E658" s="3"/>
      <c r="K658" s="3"/>
      <c r="L658" s="3"/>
    </row>
    <row r="659">
      <c r="C659" s="3"/>
      <c r="E659" s="3"/>
      <c r="K659" s="3"/>
      <c r="L659" s="3"/>
    </row>
    <row r="660">
      <c r="C660" s="3"/>
      <c r="E660" s="3"/>
      <c r="K660" s="3"/>
      <c r="L660" s="3"/>
    </row>
    <row r="661">
      <c r="C661" s="3"/>
      <c r="E661" s="3"/>
      <c r="K661" s="3"/>
      <c r="L661" s="3"/>
    </row>
    <row r="662">
      <c r="C662" s="3"/>
      <c r="E662" s="3"/>
      <c r="K662" s="3"/>
      <c r="L662" s="3"/>
    </row>
    <row r="663">
      <c r="C663" s="3"/>
      <c r="E663" s="3"/>
      <c r="K663" s="3"/>
      <c r="L663" s="3"/>
    </row>
    <row r="664">
      <c r="C664" s="3"/>
      <c r="E664" s="3"/>
      <c r="K664" s="3"/>
      <c r="L664" s="3"/>
    </row>
    <row r="665">
      <c r="C665" s="3"/>
      <c r="E665" s="3"/>
      <c r="K665" s="3"/>
      <c r="L665" s="3"/>
    </row>
    <row r="666">
      <c r="C666" s="3"/>
      <c r="E666" s="3"/>
      <c r="K666" s="3"/>
      <c r="L666" s="3"/>
    </row>
    <row r="667">
      <c r="C667" s="3"/>
      <c r="E667" s="3"/>
      <c r="K667" s="3"/>
      <c r="L667" s="3"/>
    </row>
    <row r="668">
      <c r="C668" s="3"/>
      <c r="E668" s="3"/>
      <c r="K668" s="3"/>
      <c r="L668" s="3"/>
    </row>
    <row r="669">
      <c r="C669" s="3"/>
      <c r="E669" s="3"/>
      <c r="K669" s="3"/>
      <c r="L669" s="3"/>
    </row>
    <row r="670">
      <c r="C670" s="3"/>
      <c r="E670" s="3"/>
      <c r="K670" s="3"/>
      <c r="L670" s="3"/>
    </row>
    <row r="671">
      <c r="C671" s="3"/>
      <c r="E671" s="3"/>
      <c r="K671" s="3"/>
      <c r="L671" s="3"/>
    </row>
    <row r="672">
      <c r="C672" s="3"/>
      <c r="E672" s="3"/>
      <c r="K672" s="3"/>
      <c r="L672" s="3"/>
    </row>
    <row r="673">
      <c r="C673" s="3"/>
      <c r="E673" s="3"/>
      <c r="K673" s="3"/>
      <c r="L673" s="3"/>
    </row>
    <row r="674">
      <c r="C674" s="3"/>
      <c r="E674" s="3"/>
      <c r="K674" s="3"/>
      <c r="L674" s="3"/>
    </row>
    <row r="675">
      <c r="C675" s="3"/>
      <c r="E675" s="3"/>
      <c r="K675" s="3"/>
      <c r="L675" s="3"/>
    </row>
    <row r="676">
      <c r="C676" s="3"/>
      <c r="E676" s="3"/>
      <c r="K676" s="3"/>
      <c r="L676" s="3"/>
    </row>
    <row r="677">
      <c r="C677" s="3"/>
      <c r="E677" s="3"/>
      <c r="K677" s="3"/>
      <c r="L677" s="3"/>
    </row>
    <row r="678">
      <c r="C678" s="3"/>
      <c r="E678" s="3"/>
      <c r="K678" s="3"/>
      <c r="L678" s="3"/>
    </row>
    <row r="679">
      <c r="C679" s="3"/>
      <c r="E679" s="3"/>
      <c r="K679" s="3"/>
      <c r="L679" s="3"/>
    </row>
    <row r="680">
      <c r="C680" s="3"/>
      <c r="E680" s="3"/>
      <c r="K680" s="3"/>
      <c r="L680" s="3"/>
    </row>
    <row r="681">
      <c r="C681" s="3"/>
      <c r="E681" s="3"/>
      <c r="K681" s="3"/>
      <c r="L681" s="3"/>
    </row>
    <row r="682">
      <c r="C682" s="3"/>
      <c r="E682" s="3"/>
      <c r="K682" s="3"/>
      <c r="L682" s="3"/>
    </row>
    <row r="683">
      <c r="C683" s="3"/>
      <c r="E683" s="3"/>
      <c r="K683" s="3"/>
      <c r="L683" s="3"/>
    </row>
    <row r="684">
      <c r="C684" s="3"/>
      <c r="E684" s="3"/>
      <c r="K684" s="3"/>
      <c r="L684" s="3"/>
    </row>
    <row r="685">
      <c r="C685" s="3"/>
      <c r="E685" s="3"/>
      <c r="K685" s="3"/>
      <c r="L685" s="3"/>
    </row>
    <row r="686">
      <c r="C686" s="3"/>
      <c r="E686" s="3"/>
      <c r="K686" s="3"/>
      <c r="L686" s="3"/>
    </row>
    <row r="687">
      <c r="C687" s="3"/>
      <c r="E687" s="3"/>
      <c r="K687" s="3"/>
      <c r="L687" s="3"/>
    </row>
    <row r="688">
      <c r="C688" s="3"/>
      <c r="E688" s="3"/>
      <c r="K688" s="3"/>
      <c r="L688" s="3"/>
    </row>
    <row r="689">
      <c r="C689" s="3"/>
      <c r="E689" s="3"/>
      <c r="K689" s="3"/>
      <c r="L689" s="3"/>
    </row>
    <row r="690">
      <c r="C690" s="3"/>
      <c r="E690" s="3"/>
      <c r="K690" s="3"/>
      <c r="L690" s="3"/>
    </row>
    <row r="691">
      <c r="C691" s="3"/>
      <c r="E691" s="3"/>
      <c r="K691" s="3"/>
      <c r="L691" s="3"/>
    </row>
    <row r="692">
      <c r="C692" s="3"/>
      <c r="E692" s="3"/>
      <c r="K692" s="3"/>
      <c r="L692" s="3"/>
    </row>
    <row r="693">
      <c r="C693" s="3"/>
      <c r="E693" s="3"/>
      <c r="K693" s="3"/>
      <c r="L693" s="3"/>
    </row>
    <row r="694">
      <c r="C694" s="3"/>
      <c r="E694" s="3"/>
      <c r="K694" s="3"/>
      <c r="L694" s="3"/>
    </row>
    <row r="695">
      <c r="C695" s="3"/>
      <c r="E695" s="3"/>
      <c r="K695" s="3"/>
      <c r="L695" s="3"/>
    </row>
    <row r="696">
      <c r="C696" s="3"/>
      <c r="E696" s="3"/>
      <c r="K696" s="3"/>
      <c r="L696" s="3"/>
    </row>
    <row r="697">
      <c r="C697" s="3"/>
      <c r="E697" s="3"/>
      <c r="K697" s="3"/>
      <c r="L697" s="3"/>
    </row>
    <row r="698">
      <c r="C698" s="3"/>
      <c r="E698" s="3"/>
      <c r="K698" s="3"/>
      <c r="L698" s="3"/>
    </row>
    <row r="699">
      <c r="C699" s="3"/>
      <c r="E699" s="3"/>
      <c r="K699" s="3"/>
      <c r="L699" s="3"/>
    </row>
    <row r="700">
      <c r="C700" s="3"/>
      <c r="E700" s="3"/>
      <c r="K700" s="3"/>
      <c r="L700" s="3"/>
    </row>
    <row r="701">
      <c r="C701" s="3"/>
      <c r="E701" s="3"/>
      <c r="K701" s="3"/>
      <c r="L701" s="3"/>
    </row>
    <row r="702">
      <c r="C702" s="3"/>
      <c r="E702" s="3"/>
      <c r="K702" s="3"/>
      <c r="L702" s="3"/>
    </row>
    <row r="703">
      <c r="C703" s="3"/>
      <c r="E703" s="3"/>
      <c r="K703" s="3"/>
      <c r="L703" s="3"/>
    </row>
    <row r="704">
      <c r="C704" s="3"/>
      <c r="E704" s="3"/>
      <c r="K704" s="3"/>
      <c r="L704" s="3"/>
    </row>
    <row r="705">
      <c r="C705" s="3"/>
      <c r="E705" s="3"/>
      <c r="K705" s="3"/>
      <c r="L705" s="3"/>
    </row>
    <row r="706">
      <c r="C706" s="3"/>
      <c r="E706" s="3"/>
      <c r="K706" s="3"/>
      <c r="L706" s="3"/>
    </row>
    <row r="707">
      <c r="C707" s="3"/>
      <c r="E707" s="3"/>
      <c r="K707" s="3"/>
      <c r="L707" s="3"/>
    </row>
    <row r="708">
      <c r="C708" s="3"/>
      <c r="E708" s="3"/>
      <c r="K708" s="3"/>
      <c r="L708" s="3"/>
    </row>
    <row r="709">
      <c r="C709" s="3"/>
      <c r="E709" s="3"/>
      <c r="K709" s="3"/>
      <c r="L709" s="3"/>
    </row>
    <row r="710">
      <c r="C710" s="3"/>
      <c r="E710" s="3"/>
      <c r="K710" s="3"/>
      <c r="L710" s="3"/>
    </row>
    <row r="711">
      <c r="C711" s="3"/>
      <c r="E711" s="3"/>
      <c r="K711" s="3"/>
      <c r="L711" s="3"/>
    </row>
    <row r="712">
      <c r="C712" s="3"/>
      <c r="E712" s="3"/>
      <c r="K712" s="3"/>
      <c r="L712" s="3"/>
    </row>
    <row r="713">
      <c r="C713" s="3"/>
      <c r="E713" s="3"/>
      <c r="K713" s="3"/>
      <c r="L713" s="3"/>
    </row>
    <row r="714">
      <c r="C714" s="3"/>
      <c r="E714" s="3"/>
      <c r="K714" s="3"/>
      <c r="L714" s="3"/>
    </row>
    <row r="715">
      <c r="C715" s="3"/>
      <c r="E715" s="3"/>
      <c r="K715" s="3"/>
      <c r="L715" s="3"/>
    </row>
    <row r="716">
      <c r="C716" s="3"/>
      <c r="E716" s="3"/>
      <c r="K716" s="3"/>
      <c r="L716" s="3"/>
    </row>
    <row r="717">
      <c r="C717" s="3"/>
      <c r="E717" s="3"/>
      <c r="K717" s="3"/>
      <c r="L717" s="3"/>
    </row>
    <row r="718">
      <c r="C718" s="3"/>
      <c r="E718" s="3"/>
      <c r="K718" s="3"/>
      <c r="L718" s="3"/>
    </row>
    <row r="719">
      <c r="C719" s="3"/>
      <c r="E719" s="3"/>
      <c r="K719" s="3"/>
      <c r="L719" s="3"/>
    </row>
    <row r="720">
      <c r="C720" s="3"/>
      <c r="E720" s="3"/>
      <c r="K720" s="3"/>
      <c r="L720" s="3"/>
    </row>
    <row r="721">
      <c r="C721" s="3"/>
      <c r="E721" s="3"/>
      <c r="K721" s="3"/>
      <c r="L721" s="3"/>
    </row>
    <row r="722">
      <c r="C722" s="3"/>
      <c r="E722" s="3"/>
      <c r="K722" s="3"/>
      <c r="L722" s="3"/>
    </row>
    <row r="723">
      <c r="C723" s="3"/>
      <c r="E723" s="3"/>
      <c r="K723" s="3"/>
      <c r="L723" s="3"/>
    </row>
    <row r="724">
      <c r="C724" s="3"/>
      <c r="E724" s="3"/>
      <c r="K724" s="3"/>
      <c r="L724" s="3"/>
    </row>
    <row r="725">
      <c r="C725" s="3"/>
      <c r="E725" s="3"/>
      <c r="K725" s="3"/>
      <c r="L725" s="3"/>
    </row>
    <row r="726">
      <c r="C726" s="3"/>
      <c r="E726" s="3"/>
      <c r="K726" s="3"/>
      <c r="L726" s="3"/>
    </row>
    <row r="727">
      <c r="C727" s="3"/>
      <c r="E727" s="3"/>
      <c r="K727" s="3"/>
      <c r="L727" s="3"/>
    </row>
    <row r="728">
      <c r="C728" s="3"/>
      <c r="E728" s="3"/>
      <c r="K728" s="3"/>
      <c r="L728" s="3"/>
    </row>
    <row r="729">
      <c r="C729" s="3"/>
      <c r="E729" s="3"/>
      <c r="K729" s="3"/>
      <c r="L729" s="3"/>
    </row>
    <row r="730">
      <c r="C730" s="3"/>
      <c r="E730" s="3"/>
      <c r="K730" s="3"/>
      <c r="L730" s="3"/>
    </row>
    <row r="731">
      <c r="C731" s="3"/>
      <c r="E731" s="3"/>
      <c r="K731" s="3"/>
      <c r="L731" s="3"/>
    </row>
    <row r="732">
      <c r="C732" s="3"/>
      <c r="E732" s="3"/>
      <c r="K732" s="3"/>
      <c r="L732" s="3"/>
    </row>
    <row r="733">
      <c r="C733" s="3"/>
      <c r="E733" s="3"/>
      <c r="K733" s="3"/>
      <c r="L733" s="3"/>
    </row>
    <row r="734">
      <c r="C734" s="3"/>
      <c r="E734" s="3"/>
      <c r="K734" s="3"/>
      <c r="L734" s="3"/>
    </row>
    <row r="735">
      <c r="C735" s="3"/>
      <c r="E735" s="3"/>
      <c r="K735" s="3"/>
      <c r="L735" s="3"/>
    </row>
    <row r="736">
      <c r="C736" s="3"/>
      <c r="E736" s="3"/>
      <c r="K736" s="3"/>
      <c r="L736" s="3"/>
    </row>
    <row r="737">
      <c r="C737" s="3"/>
      <c r="E737" s="3"/>
      <c r="K737" s="3"/>
      <c r="L737" s="3"/>
    </row>
    <row r="738">
      <c r="C738" s="3"/>
      <c r="E738" s="3"/>
      <c r="K738" s="3"/>
      <c r="L738" s="3"/>
    </row>
    <row r="739">
      <c r="C739" s="3"/>
      <c r="E739" s="3"/>
      <c r="K739" s="3"/>
      <c r="L739" s="3"/>
    </row>
    <row r="740">
      <c r="C740" s="3"/>
      <c r="E740" s="3"/>
      <c r="K740" s="3"/>
      <c r="L740" s="3"/>
    </row>
    <row r="741">
      <c r="C741" s="3"/>
      <c r="E741" s="3"/>
      <c r="K741" s="3"/>
      <c r="L741" s="3"/>
    </row>
    <row r="742">
      <c r="C742" s="3"/>
      <c r="E742" s="3"/>
      <c r="K742" s="3"/>
      <c r="L742" s="3"/>
    </row>
    <row r="743">
      <c r="C743" s="3"/>
      <c r="E743" s="3"/>
      <c r="K743" s="3"/>
      <c r="L743" s="3"/>
    </row>
    <row r="744">
      <c r="C744" s="3"/>
      <c r="E744" s="3"/>
      <c r="K744" s="3"/>
      <c r="L744" s="3"/>
    </row>
    <row r="745">
      <c r="C745" s="3"/>
      <c r="E745" s="3"/>
      <c r="K745" s="3"/>
      <c r="L745" s="3"/>
    </row>
    <row r="746">
      <c r="C746" s="3"/>
      <c r="E746" s="3"/>
      <c r="K746" s="3"/>
      <c r="L746" s="3"/>
    </row>
    <row r="747">
      <c r="C747" s="3"/>
      <c r="E747" s="3"/>
      <c r="K747" s="3"/>
      <c r="L747" s="3"/>
    </row>
    <row r="748">
      <c r="C748" s="3"/>
      <c r="E748" s="3"/>
      <c r="K748" s="3"/>
      <c r="L748" s="3"/>
    </row>
    <row r="749">
      <c r="C749" s="3"/>
      <c r="E749" s="3"/>
      <c r="K749" s="3"/>
      <c r="L749" s="3"/>
    </row>
    <row r="750">
      <c r="C750" s="3"/>
      <c r="E750" s="3"/>
      <c r="K750" s="3"/>
      <c r="L750" s="3"/>
    </row>
    <row r="751">
      <c r="C751" s="3"/>
      <c r="E751" s="3"/>
      <c r="K751" s="3"/>
      <c r="L751" s="3"/>
    </row>
    <row r="752">
      <c r="C752" s="3"/>
      <c r="E752" s="3"/>
      <c r="K752" s="3"/>
      <c r="L752" s="3"/>
    </row>
    <row r="753">
      <c r="C753" s="3"/>
      <c r="E753" s="3"/>
      <c r="K753" s="3"/>
      <c r="L753" s="3"/>
    </row>
    <row r="754">
      <c r="C754" s="3"/>
      <c r="E754" s="3"/>
      <c r="K754" s="3"/>
      <c r="L754" s="3"/>
    </row>
    <row r="755">
      <c r="C755" s="3"/>
      <c r="E755" s="3"/>
      <c r="K755" s="3"/>
      <c r="L755" s="3"/>
    </row>
    <row r="756">
      <c r="C756" s="3"/>
      <c r="E756" s="3"/>
      <c r="K756" s="3"/>
      <c r="L756" s="3"/>
    </row>
    <row r="757">
      <c r="C757" s="3"/>
      <c r="E757" s="3"/>
      <c r="K757" s="3"/>
      <c r="L757" s="3"/>
    </row>
    <row r="758">
      <c r="C758" s="3"/>
      <c r="E758" s="3"/>
      <c r="K758" s="3"/>
      <c r="L758" s="3"/>
    </row>
    <row r="759">
      <c r="C759" s="3"/>
      <c r="E759" s="3"/>
      <c r="K759" s="3"/>
      <c r="L759" s="3"/>
    </row>
    <row r="760">
      <c r="C760" s="3"/>
      <c r="E760" s="3"/>
      <c r="K760" s="3"/>
      <c r="L760" s="3"/>
    </row>
    <row r="761">
      <c r="C761" s="3"/>
      <c r="E761" s="3"/>
      <c r="K761" s="3"/>
      <c r="L761" s="3"/>
    </row>
    <row r="762">
      <c r="C762" s="3"/>
      <c r="E762" s="3"/>
      <c r="K762" s="3"/>
      <c r="L762" s="3"/>
    </row>
    <row r="763">
      <c r="C763" s="3"/>
      <c r="E763" s="3"/>
      <c r="K763" s="3"/>
      <c r="L763" s="3"/>
    </row>
    <row r="764">
      <c r="C764" s="3"/>
      <c r="E764" s="3"/>
      <c r="K764" s="3"/>
      <c r="L764" s="3"/>
    </row>
    <row r="765">
      <c r="C765" s="3"/>
      <c r="E765" s="3"/>
      <c r="K765" s="3"/>
      <c r="L765" s="3"/>
    </row>
    <row r="766">
      <c r="C766" s="3"/>
      <c r="E766" s="3"/>
      <c r="K766" s="3"/>
      <c r="L766" s="3"/>
    </row>
    <row r="767">
      <c r="C767" s="3"/>
      <c r="E767" s="3"/>
      <c r="K767" s="3"/>
      <c r="L767" s="3"/>
    </row>
    <row r="768">
      <c r="C768" s="3"/>
      <c r="E768" s="3"/>
      <c r="K768" s="3"/>
      <c r="L768" s="3"/>
    </row>
    <row r="769">
      <c r="C769" s="3"/>
      <c r="E769" s="3"/>
      <c r="K769" s="3"/>
      <c r="L769" s="3"/>
    </row>
    <row r="770">
      <c r="C770" s="3"/>
      <c r="E770" s="3"/>
      <c r="K770" s="3"/>
      <c r="L770" s="3"/>
    </row>
    <row r="771">
      <c r="C771" s="3"/>
      <c r="E771" s="3"/>
      <c r="K771" s="3"/>
      <c r="L771" s="3"/>
    </row>
    <row r="772">
      <c r="C772" s="3"/>
      <c r="E772" s="3"/>
      <c r="K772" s="3"/>
      <c r="L772" s="3"/>
    </row>
    <row r="773">
      <c r="C773" s="3"/>
      <c r="E773" s="3"/>
      <c r="K773" s="3"/>
      <c r="L773" s="3"/>
    </row>
    <row r="774">
      <c r="C774" s="3"/>
      <c r="E774" s="3"/>
      <c r="K774" s="3"/>
      <c r="L774" s="3"/>
    </row>
    <row r="775">
      <c r="C775" s="3"/>
      <c r="E775" s="3"/>
      <c r="K775" s="3"/>
      <c r="L775" s="3"/>
    </row>
    <row r="776">
      <c r="C776" s="3"/>
      <c r="E776" s="3"/>
      <c r="K776" s="3"/>
      <c r="L776" s="3"/>
    </row>
    <row r="777">
      <c r="C777" s="3"/>
      <c r="E777" s="3"/>
      <c r="K777" s="3"/>
      <c r="L777" s="3"/>
    </row>
    <row r="778">
      <c r="C778" s="3"/>
      <c r="E778" s="3"/>
      <c r="K778" s="3"/>
      <c r="L778" s="3"/>
    </row>
    <row r="779">
      <c r="C779" s="3"/>
      <c r="E779" s="3"/>
      <c r="K779" s="3"/>
      <c r="L779" s="3"/>
    </row>
    <row r="780">
      <c r="C780" s="3"/>
      <c r="E780" s="3"/>
      <c r="K780" s="3"/>
      <c r="L780" s="3"/>
    </row>
    <row r="781">
      <c r="C781" s="3"/>
      <c r="E781" s="3"/>
      <c r="K781" s="3"/>
      <c r="L781" s="3"/>
    </row>
    <row r="782">
      <c r="C782" s="3"/>
      <c r="E782" s="3"/>
      <c r="K782" s="3"/>
      <c r="L782" s="3"/>
    </row>
    <row r="783">
      <c r="C783" s="3"/>
      <c r="E783" s="3"/>
      <c r="K783" s="3"/>
      <c r="L783" s="3"/>
    </row>
    <row r="784">
      <c r="C784" s="3"/>
      <c r="E784" s="3"/>
      <c r="K784" s="3"/>
      <c r="L784" s="3"/>
    </row>
    <row r="785">
      <c r="C785" s="3"/>
      <c r="E785" s="3"/>
      <c r="K785" s="3"/>
      <c r="L785" s="3"/>
    </row>
    <row r="786">
      <c r="C786" s="3"/>
      <c r="E786" s="3"/>
      <c r="K786" s="3"/>
      <c r="L786" s="3"/>
    </row>
    <row r="787">
      <c r="C787" s="3"/>
      <c r="E787" s="3"/>
      <c r="K787" s="3"/>
      <c r="L787" s="3"/>
    </row>
    <row r="788">
      <c r="C788" s="3"/>
      <c r="E788" s="3"/>
      <c r="K788" s="3"/>
      <c r="L788" s="3"/>
    </row>
    <row r="789">
      <c r="C789" s="3"/>
      <c r="E789" s="3"/>
      <c r="K789" s="3"/>
      <c r="L789" s="3"/>
    </row>
    <row r="790">
      <c r="C790" s="3"/>
      <c r="E790" s="3"/>
      <c r="K790" s="3"/>
      <c r="L790" s="3"/>
    </row>
    <row r="791">
      <c r="C791" s="3"/>
      <c r="E791" s="3"/>
      <c r="K791" s="3"/>
      <c r="L791" s="3"/>
    </row>
    <row r="792">
      <c r="C792" s="3"/>
      <c r="E792" s="3"/>
      <c r="K792" s="3"/>
      <c r="L792" s="3"/>
    </row>
    <row r="793">
      <c r="C793" s="3"/>
      <c r="E793" s="3"/>
      <c r="K793" s="3"/>
      <c r="L793" s="3"/>
    </row>
    <row r="794">
      <c r="C794" s="3"/>
      <c r="E794" s="3"/>
      <c r="K794" s="3"/>
      <c r="L794" s="3"/>
    </row>
    <row r="795">
      <c r="C795" s="3"/>
      <c r="E795" s="3"/>
      <c r="K795" s="3"/>
      <c r="L795" s="3"/>
    </row>
    <row r="796">
      <c r="C796" s="3"/>
      <c r="E796" s="3"/>
      <c r="K796" s="3"/>
      <c r="L796" s="3"/>
    </row>
    <row r="797">
      <c r="C797" s="3"/>
      <c r="E797" s="3"/>
      <c r="K797" s="3"/>
      <c r="L797" s="3"/>
    </row>
    <row r="798">
      <c r="C798" s="3"/>
      <c r="E798" s="3"/>
      <c r="K798" s="3"/>
      <c r="L798" s="3"/>
    </row>
    <row r="799">
      <c r="C799" s="3"/>
      <c r="E799" s="3"/>
      <c r="K799" s="3"/>
      <c r="L799" s="3"/>
    </row>
    <row r="800">
      <c r="C800" s="3"/>
      <c r="E800" s="3"/>
      <c r="K800" s="3"/>
      <c r="L800" s="3"/>
    </row>
    <row r="801">
      <c r="C801" s="3"/>
      <c r="E801" s="3"/>
      <c r="K801" s="3"/>
      <c r="L801" s="3"/>
    </row>
    <row r="802">
      <c r="C802" s="3"/>
      <c r="E802" s="3"/>
      <c r="K802" s="3"/>
      <c r="L802" s="3"/>
    </row>
    <row r="803">
      <c r="C803" s="3"/>
      <c r="E803" s="3"/>
      <c r="K803" s="3"/>
      <c r="L803" s="3"/>
    </row>
    <row r="804">
      <c r="C804" s="3"/>
      <c r="E804" s="3"/>
      <c r="K804" s="3"/>
      <c r="L804" s="3"/>
    </row>
    <row r="805">
      <c r="C805" s="3"/>
      <c r="E805" s="3"/>
      <c r="K805" s="3"/>
      <c r="L805" s="3"/>
    </row>
    <row r="806">
      <c r="C806" s="3"/>
      <c r="E806" s="3"/>
      <c r="K806" s="3"/>
      <c r="L806" s="3"/>
    </row>
    <row r="807">
      <c r="C807" s="3"/>
      <c r="E807" s="3"/>
      <c r="K807" s="3"/>
      <c r="L807" s="3"/>
    </row>
    <row r="808">
      <c r="C808" s="3"/>
      <c r="E808" s="3"/>
      <c r="K808" s="3"/>
      <c r="L808" s="3"/>
    </row>
    <row r="809">
      <c r="C809" s="3"/>
      <c r="E809" s="3"/>
      <c r="K809" s="3"/>
      <c r="L809" s="3"/>
    </row>
    <row r="810">
      <c r="C810" s="3"/>
      <c r="E810" s="3"/>
      <c r="K810" s="3"/>
      <c r="L810" s="3"/>
    </row>
    <row r="811">
      <c r="C811" s="3"/>
      <c r="E811" s="3"/>
      <c r="K811" s="3"/>
      <c r="L811" s="3"/>
    </row>
    <row r="812">
      <c r="C812" s="3"/>
      <c r="E812" s="3"/>
      <c r="K812" s="3"/>
      <c r="L812" s="3"/>
    </row>
    <row r="813">
      <c r="C813" s="3"/>
      <c r="E813" s="3"/>
      <c r="K813" s="3"/>
      <c r="L813" s="3"/>
    </row>
    <row r="814">
      <c r="C814" s="3"/>
      <c r="E814" s="3"/>
      <c r="K814" s="3"/>
      <c r="L814" s="3"/>
    </row>
    <row r="815">
      <c r="C815" s="3"/>
      <c r="E815" s="3"/>
      <c r="K815" s="3"/>
      <c r="L815" s="3"/>
    </row>
    <row r="816">
      <c r="C816" s="3"/>
      <c r="E816" s="3"/>
      <c r="K816" s="3"/>
      <c r="L816" s="3"/>
    </row>
    <row r="817">
      <c r="C817" s="3"/>
      <c r="E817" s="3"/>
      <c r="K817" s="3"/>
      <c r="L817" s="3"/>
    </row>
    <row r="818">
      <c r="C818" s="3"/>
      <c r="E818" s="3"/>
      <c r="K818" s="3"/>
      <c r="L818" s="3"/>
    </row>
    <row r="819">
      <c r="C819" s="3"/>
      <c r="E819" s="3"/>
      <c r="K819" s="3"/>
      <c r="L819" s="3"/>
    </row>
    <row r="820">
      <c r="C820" s="3"/>
      <c r="E820" s="3"/>
      <c r="K820" s="3"/>
      <c r="L820" s="3"/>
    </row>
    <row r="821">
      <c r="C821" s="3"/>
      <c r="E821" s="3"/>
      <c r="K821" s="3"/>
      <c r="L821" s="3"/>
    </row>
    <row r="822">
      <c r="C822" s="3"/>
      <c r="E822" s="3"/>
      <c r="K822" s="3"/>
      <c r="L822" s="3"/>
    </row>
    <row r="823">
      <c r="C823" s="3"/>
      <c r="E823" s="3"/>
      <c r="K823" s="3"/>
      <c r="L823" s="3"/>
    </row>
    <row r="824">
      <c r="C824" s="3"/>
      <c r="E824" s="3"/>
      <c r="K824" s="3"/>
      <c r="L824" s="3"/>
    </row>
    <row r="825">
      <c r="C825" s="3"/>
      <c r="E825" s="3"/>
      <c r="K825" s="3"/>
      <c r="L825" s="3"/>
    </row>
    <row r="826">
      <c r="C826" s="3"/>
      <c r="E826" s="3"/>
      <c r="K826" s="3"/>
      <c r="L826" s="3"/>
    </row>
    <row r="827">
      <c r="C827" s="3"/>
      <c r="E827" s="3"/>
      <c r="K827" s="3"/>
      <c r="L827" s="3"/>
    </row>
    <row r="828">
      <c r="C828" s="3"/>
      <c r="E828" s="3"/>
      <c r="K828" s="3"/>
      <c r="L828" s="3"/>
    </row>
    <row r="829">
      <c r="C829" s="3"/>
      <c r="E829" s="3"/>
      <c r="K829" s="3"/>
      <c r="L829" s="3"/>
    </row>
    <row r="830">
      <c r="C830" s="3"/>
      <c r="E830" s="3"/>
      <c r="K830" s="3"/>
      <c r="L830" s="3"/>
    </row>
    <row r="831">
      <c r="C831" s="3"/>
      <c r="E831" s="3"/>
      <c r="K831" s="3"/>
      <c r="L831" s="3"/>
    </row>
    <row r="832">
      <c r="C832" s="3"/>
      <c r="E832" s="3"/>
      <c r="K832" s="3"/>
      <c r="L832" s="3"/>
    </row>
    <row r="833">
      <c r="C833" s="3"/>
      <c r="E833" s="3"/>
      <c r="K833" s="3"/>
      <c r="L833" s="3"/>
    </row>
    <row r="834">
      <c r="C834" s="3"/>
      <c r="E834" s="3"/>
      <c r="K834" s="3"/>
      <c r="L834" s="3"/>
    </row>
    <row r="835">
      <c r="C835" s="3"/>
      <c r="E835" s="3"/>
      <c r="K835" s="3"/>
      <c r="L835" s="3"/>
    </row>
    <row r="836">
      <c r="C836" s="3"/>
      <c r="E836" s="3"/>
      <c r="K836" s="3"/>
      <c r="L836" s="3"/>
    </row>
    <row r="837">
      <c r="C837" s="3"/>
      <c r="E837" s="3"/>
      <c r="K837" s="3"/>
      <c r="L837" s="3"/>
    </row>
    <row r="838">
      <c r="C838" s="3"/>
      <c r="E838" s="3"/>
      <c r="K838" s="3"/>
      <c r="L838" s="3"/>
    </row>
    <row r="839">
      <c r="C839" s="3"/>
      <c r="E839" s="3"/>
      <c r="K839" s="3"/>
      <c r="L839" s="3"/>
    </row>
    <row r="840">
      <c r="C840" s="3"/>
      <c r="E840" s="3"/>
      <c r="K840" s="3"/>
      <c r="L840" s="3"/>
    </row>
    <row r="841">
      <c r="C841" s="3"/>
      <c r="E841" s="3"/>
      <c r="K841" s="3"/>
      <c r="L841" s="3"/>
    </row>
    <row r="842">
      <c r="C842" s="3"/>
      <c r="E842" s="3"/>
      <c r="K842" s="3"/>
      <c r="L842" s="3"/>
    </row>
    <row r="843">
      <c r="C843" s="3"/>
      <c r="E843" s="3"/>
      <c r="K843" s="3"/>
      <c r="L843" s="3"/>
    </row>
    <row r="844">
      <c r="C844" s="3"/>
      <c r="E844" s="3"/>
      <c r="K844" s="3"/>
      <c r="L844" s="3"/>
    </row>
    <row r="845">
      <c r="C845" s="3"/>
      <c r="E845" s="3"/>
      <c r="K845" s="3"/>
      <c r="L845" s="3"/>
    </row>
    <row r="846">
      <c r="C846" s="3"/>
      <c r="E846" s="3"/>
      <c r="K846" s="3"/>
      <c r="L846" s="3"/>
    </row>
    <row r="847">
      <c r="C847" s="3"/>
      <c r="E847" s="3"/>
      <c r="K847" s="3"/>
      <c r="L847" s="3"/>
    </row>
    <row r="848">
      <c r="C848" s="3"/>
      <c r="E848" s="3"/>
      <c r="K848" s="3"/>
      <c r="L848" s="3"/>
    </row>
    <row r="849">
      <c r="C849" s="3"/>
      <c r="E849" s="3"/>
      <c r="K849" s="3"/>
      <c r="L849" s="3"/>
    </row>
    <row r="850">
      <c r="C850" s="3"/>
      <c r="E850" s="3"/>
      <c r="K850" s="3"/>
      <c r="L850" s="3"/>
    </row>
    <row r="851">
      <c r="C851" s="3"/>
      <c r="E851" s="3"/>
      <c r="K851" s="3"/>
      <c r="L851" s="3"/>
    </row>
    <row r="852">
      <c r="C852" s="3"/>
      <c r="E852" s="3"/>
      <c r="K852" s="3"/>
      <c r="L852" s="3"/>
    </row>
    <row r="853">
      <c r="C853" s="3"/>
      <c r="E853" s="3"/>
      <c r="K853" s="3"/>
      <c r="L853" s="3"/>
    </row>
    <row r="854">
      <c r="C854" s="3"/>
      <c r="E854" s="3"/>
      <c r="K854" s="3"/>
      <c r="L854" s="3"/>
    </row>
    <row r="855">
      <c r="C855" s="3"/>
      <c r="E855" s="3"/>
      <c r="K855" s="3"/>
      <c r="L855" s="3"/>
    </row>
    <row r="856">
      <c r="C856" s="3"/>
      <c r="E856" s="3"/>
      <c r="K856" s="3"/>
      <c r="L856" s="3"/>
    </row>
    <row r="857">
      <c r="C857" s="3"/>
      <c r="E857" s="3"/>
      <c r="K857" s="3"/>
      <c r="L857" s="3"/>
    </row>
    <row r="858">
      <c r="C858" s="3"/>
      <c r="E858" s="3"/>
      <c r="K858" s="3"/>
      <c r="L858" s="3"/>
    </row>
    <row r="859">
      <c r="C859" s="3"/>
      <c r="E859" s="3"/>
      <c r="K859" s="3"/>
      <c r="L859" s="3"/>
    </row>
    <row r="860">
      <c r="C860" s="3"/>
      <c r="E860" s="3"/>
      <c r="K860" s="3"/>
      <c r="L860" s="3"/>
    </row>
    <row r="861">
      <c r="C861" s="3"/>
      <c r="E861" s="3"/>
      <c r="K861" s="3"/>
      <c r="L861" s="3"/>
    </row>
    <row r="862">
      <c r="C862" s="3"/>
      <c r="E862" s="3"/>
      <c r="K862" s="3"/>
      <c r="L862" s="3"/>
    </row>
    <row r="863">
      <c r="C863" s="3"/>
      <c r="E863" s="3"/>
      <c r="K863" s="3"/>
      <c r="L863" s="3"/>
    </row>
    <row r="864">
      <c r="C864" s="3"/>
      <c r="E864" s="3"/>
      <c r="K864" s="3"/>
      <c r="L864" s="3"/>
    </row>
    <row r="865">
      <c r="C865" s="3"/>
      <c r="E865" s="3"/>
      <c r="K865" s="3"/>
      <c r="L865" s="3"/>
    </row>
    <row r="866">
      <c r="C866" s="3"/>
      <c r="E866" s="3"/>
      <c r="K866" s="3"/>
      <c r="L866" s="3"/>
    </row>
    <row r="867">
      <c r="C867" s="3"/>
      <c r="E867" s="3"/>
      <c r="K867" s="3"/>
      <c r="L867" s="3"/>
    </row>
    <row r="868">
      <c r="C868" s="3"/>
      <c r="E868" s="3"/>
      <c r="K868" s="3"/>
      <c r="L868" s="3"/>
    </row>
    <row r="869">
      <c r="C869" s="3"/>
      <c r="E869" s="3"/>
      <c r="K869" s="3"/>
      <c r="L869" s="3"/>
    </row>
    <row r="870">
      <c r="C870" s="3"/>
      <c r="E870" s="3"/>
      <c r="K870" s="3"/>
      <c r="L870" s="3"/>
    </row>
    <row r="871">
      <c r="C871" s="3"/>
      <c r="E871" s="3"/>
      <c r="K871" s="3"/>
      <c r="L871" s="3"/>
    </row>
    <row r="872">
      <c r="C872" s="3"/>
      <c r="E872" s="3"/>
      <c r="K872" s="3"/>
      <c r="L872" s="3"/>
    </row>
    <row r="873">
      <c r="C873" s="3"/>
      <c r="E873" s="3"/>
      <c r="K873" s="3"/>
      <c r="L873" s="3"/>
    </row>
    <row r="874">
      <c r="C874" s="3"/>
      <c r="E874" s="3"/>
      <c r="K874" s="3"/>
      <c r="L874" s="3"/>
    </row>
    <row r="875">
      <c r="C875" s="3"/>
      <c r="E875" s="3"/>
      <c r="K875" s="3"/>
      <c r="L875" s="3"/>
    </row>
    <row r="876">
      <c r="C876" s="3"/>
      <c r="E876" s="3"/>
      <c r="K876" s="3"/>
      <c r="L876" s="3"/>
    </row>
    <row r="877">
      <c r="C877" s="3"/>
      <c r="E877" s="3"/>
      <c r="K877" s="3"/>
      <c r="L877" s="3"/>
    </row>
    <row r="878">
      <c r="C878" s="3"/>
      <c r="E878" s="3"/>
      <c r="K878" s="3"/>
      <c r="L878" s="3"/>
    </row>
    <row r="879">
      <c r="C879" s="3"/>
      <c r="E879" s="3"/>
      <c r="K879" s="3"/>
      <c r="L879" s="3"/>
    </row>
    <row r="880">
      <c r="C880" s="3"/>
      <c r="E880" s="3"/>
      <c r="K880" s="3"/>
      <c r="L880" s="3"/>
    </row>
    <row r="881">
      <c r="C881" s="3"/>
      <c r="E881" s="3"/>
      <c r="K881" s="3"/>
      <c r="L881" s="3"/>
    </row>
    <row r="882">
      <c r="C882" s="3"/>
      <c r="E882" s="3"/>
      <c r="K882" s="3"/>
      <c r="L882" s="3"/>
    </row>
    <row r="883">
      <c r="C883" s="3"/>
      <c r="E883" s="3"/>
      <c r="K883" s="3"/>
      <c r="L883" s="3"/>
    </row>
    <row r="884">
      <c r="C884" s="3"/>
      <c r="E884" s="3"/>
      <c r="K884" s="3"/>
      <c r="L884" s="3"/>
    </row>
    <row r="885">
      <c r="C885" s="3"/>
      <c r="E885" s="3"/>
      <c r="K885" s="3"/>
      <c r="L885" s="3"/>
    </row>
    <row r="886">
      <c r="C886" s="3"/>
      <c r="E886" s="3"/>
      <c r="K886" s="3"/>
      <c r="L886" s="3"/>
    </row>
    <row r="887">
      <c r="C887" s="3"/>
      <c r="E887" s="3"/>
      <c r="K887" s="3"/>
      <c r="L887" s="3"/>
    </row>
    <row r="888">
      <c r="C888" s="3"/>
      <c r="E888" s="3"/>
      <c r="K888" s="3"/>
      <c r="L888" s="3"/>
    </row>
    <row r="889">
      <c r="C889" s="3"/>
      <c r="E889" s="3"/>
      <c r="K889" s="3"/>
      <c r="L889" s="3"/>
    </row>
    <row r="890">
      <c r="C890" s="3"/>
      <c r="E890" s="3"/>
      <c r="K890" s="3"/>
      <c r="L890" s="3"/>
    </row>
    <row r="891">
      <c r="C891" s="3"/>
      <c r="E891" s="3"/>
      <c r="K891" s="3"/>
      <c r="L891" s="3"/>
    </row>
    <row r="892">
      <c r="C892" s="3"/>
      <c r="E892" s="3"/>
      <c r="K892" s="3"/>
      <c r="L892" s="3"/>
    </row>
    <row r="893">
      <c r="C893" s="3"/>
      <c r="E893" s="3"/>
      <c r="K893" s="3"/>
      <c r="L893" s="3"/>
    </row>
    <row r="894">
      <c r="C894" s="3"/>
      <c r="E894" s="3"/>
      <c r="K894" s="3"/>
      <c r="L894" s="3"/>
    </row>
    <row r="895">
      <c r="C895" s="3"/>
      <c r="E895" s="3"/>
      <c r="K895" s="3"/>
      <c r="L895" s="3"/>
    </row>
    <row r="896">
      <c r="C896" s="3"/>
      <c r="E896" s="3"/>
      <c r="K896" s="3"/>
      <c r="L896" s="3"/>
    </row>
    <row r="897">
      <c r="C897" s="3"/>
      <c r="E897" s="3"/>
      <c r="K897" s="3"/>
      <c r="L897" s="3"/>
    </row>
    <row r="898">
      <c r="C898" s="3"/>
      <c r="E898" s="3"/>
      <c r="K898" s="3"/>
      <c r="L898" s="3"/>
    </row>
    <row r="899">
      <c r="C899" s="3"/>
      <c r="E899" s="3"/>
      <c r="K899" s="3"/>
      <c r="L899" s="3"/>
    </row>
    <row r="900">
      <c r="C900" s="3"/>
      <c r="E900" s="3"/>
      <c r="K900" s="3"/>
      <c r="L900" s="3"/>
    </row>
    <row r="901">
      <c r="C901" s="3"/>
      <c r="E901" s="3"/>
      <c r="K901" s="3"/>
      <c r="L901" s="3"/>
    </row>
    <row r="902">
      <c r="C902" s="3"/>
      <c r="E902" s="3"/>
      <c r="K902" s="3"/>
      <c r="L902" s="3"/>
    </row>
    <row r="903">
      <c r="C903" s="3"/>
      <c r="E903" s="3"/>
      <c r="K903" s="3"/>
      <c r="L903" s="3"/>
    </row>
    <row r="904">
      <c r="C904" s="3"/>
      <c r="E904" s="3"/>
      <c r="K904" s="3"/>
      <c r="L904" s="3"/>
    </row>
    <row r="905">
      <c r="C905" s="3"/>
      <c r="E905" s="3"/>
      <c r="K905" s="3"/>
      <c r="L905" s="3"/>
    </row>
    <row r="906">
      <c r="C906" s="3"/>
      <c r="E906" s="3"/>
      <c r="K906" s="3"/>
      <c r="L906" s="3"/>
    </row>
    <row r="907">
      <c r="C907" s="3"/>
      <c r="E907" s="3"/>
      <c r="K907" s="3"/>
      <c r="L907" s="3"/>
    </row>
    <row r="908">
      <c r="C908" s="3"/>
      <c r="E908" s="3"/>
      <c r="K908" s="3"/>
      <c r="L908" s="3"/>
    </row>
    <row r="909">
      <c r="C909" s="3"/>
      <c r="E909" s="3"/>
      <c r="K909" s="3"/>
      <c r="L909" s="3"/>
    </row>
    <row r="910">
      <c r="C910" s="3"/>
      <c r="E910" s="3"/>
      <c r="K910" s="3"/>
      <c r="L910" s="3"/>
    </row>
    <row r="911">
      <c r="C911" s="3"/>
      <c r="E911" s="3"/>
      <c r="K911" s="3"/>
      <c r="L911" s="3"/>
    </row>
    <row r="912">
      <c r="C912" s="3"/>
      <c r="E912" s="3"/>
      <c r="K912" s="3"/>
      <c r="L912" s="3"/>
    </row>
    <row r="913">
      <c r="C913" s="3"/>
      <c r="E913" s="3"/>
      <c r="K913" s="3"/>
      <c r="L913" s="3"/>
    </row>
    <row r="914">
      <c r="C914" s="3"/>
      <c r="E914" s="3"/>
      <c r="K914" s="3"/>
      <c r="L914" s="3"/>
    </row>
    <row r="915">
      <c r="C915" s="3"/>
      <c r="E915" s="3"/>
      <c r="K915" s="3"/>
      <c r="L915" s="3"/>
    </row>
    <row r="916">
      <c r="C916" s="3"/>
      <c r="E916" s="3"/>
      <c r="K916" s="3"/>
      <c r="L916" s="3"/>
    </row>
    <row r="917">
      <c r="C917" s="3"/>
      <c r="E917" s="3"/>
      <c r="K917" s="3"/>
      <c r="L917" s="3"/>
    </row>
    <row r="918">
      <c r="C918" s="3"/>
      <c r="E918" s="3"/>
      <c r="K918" s="3"/>
      <c r="L918" s="3"/>
    </row>
    <row r="919">
      <c r="C919" s="3"/>
      <c r="E919" s="3"/>
      <c r="K919" s="3"/>
      <c r="L919" s="3"/>
    </row>
    <row r="920">
      <c r="C920" s="3"/>
      <c r="E920" s="3"/>
      <c r="K920" s="3"/>
      <c r="L920" s="3"/>
    </row>
    <row r="921">
      <c r="C921" s="3"/>
      <c r="E921" s="3"/>
      <c r="K921" s="3"/>
      <c r="L921" s="3"/>
    </row>
    <row r="922">
      <c r="C922" s="3"/>
      <c r="E922" s="3"/>
      <c r="K922" s="3"/>
      <c r="L922" s="3"/>
    </row>
    <row r="923">
      <c r="C923" s="3"/>
      <c r="E923" s="3"/>
      <c r="K923" s="3"/>
      <c r="L923" s="3"/>
    </row>
    <row r="924">
      <c r="C924" s="3"/>
      <c r="E924" s="3"/>
      <c r="K924" s="3"/>
      <c r="L924" s="3"/>
    </row>
    <row r="925">
      <c r="C925" s="3"/>
      <c r="E925" s="3"/>
      <c r="K925" s="3"/>
      <c r="L925" s="3"/>
    </row>
    <row r="926">
      <c r="C926" s="3"/>
      <c r="E926" s="3"/>
      <c r="K926" s="3"/>
      <c r="L926" s="3"/>
    </row>
    <row r="927">
      <c r="C927" s="3"/>
      <c r="E927" s="3"/>
      <c r="K927" s="3"/>
      <c r="L927" s="3"/>
    </row>
    <row r="928">
      <c r="C928" s="3"/>
      <c r="E928" s="3"/>
      <c r="K928" s="3"/>
      <c r="L928" s="3"/>
    </row>
    <row r="929">
      <c r="C929" s="3"/>
      <c r="E929" s="3"/>
      <c r="K929" s="3"/>
      <c r="L929" s="3"/>
    </row>
    <row r="930">
      <c r="C930" s="3"/>
      <c r="E930" s="3"/>
      <c r="K930" s="3"/>
      <c r="L930" s="3"/>
    </row>
    <row r="931">
      <c r="C931" s="3"/>
      <c r="E931" s="3"/>
      <c r="K931" s="3"/>
      <c r="L931" s="3"/>
    </row>
    <row r="932">
      <c r="C932" s="3"/>
      <c r="E932" s="3"/>
      <c r="K932" s="3"/>
      <c r="L932" s="3"/>
    </row>
    <row r="933">
      <c r="C933" s="3"/>
      <c r="E933" s="3"/>
      <c r="K933" s="3"/>
      <c r="L933" s="3"/>
    </row>
    <row r="934">
      <c r="C934" s="3"/>
      <c r="E934" s="3"/>
      <c r="K934" s="3"/>
      <c r="L934" s="3"/>
    </row>
    <row r="935">
      <c r="C935" s="3"/>
      <c r="E935" s="3"/>
      <c r="K935" s="3"/>
      <c r="L935" s="3"/>
    </row>
    <row r="936">
      <c r="C936" s="3"/>
      <c r="E936" s="3"/>
      <c r="K936" s="3"/>
      <c r="L936" s="3"/>
    </row>
    <row r="937">
      <c r="C937" s="3"/>
      <c r="E937" s="3"/>
      <c r="K937" s="3"/>
      <c r="L937" s="3"/>
    </row>
    <row r="938">
      <c r="C938" s="3"/>
      <c r="E938" s="3"/>
      <c r="K938" s="3"/>
      <c r="L938" s="3"/>
    </row>
    <row r="939">
      <c r="C939" s="3"/>
      <c r="E939" s="3"/>
      <c r="K939" s="3"/>
      <c r="L939" s="3"/>
    </row>
    <row r="940">
      <c r="C940" s="3"/>
      <c r="E940" s="3"/>
      <c r="K940" s="3"/>
      <c r="L940" s="3"/>
    </row>
    <row r="941">
      <c r="C941" s="3"/>
      <c r="E941" s="3"/>
      <c r="K941" s="3"/>
      <c r="L941" s="3"/>
    </row>
    <row r="942">
      <c r="C942" s="3"/>
      <c r="E942" s="3"/>
      <c r="K942" s="3"/>
      <c r="L942" s="3"/>
    </row>
    <row r="943">
      <c r="C943" s="3"/>
      <c r="E943" s="3"/>
      <c r="K943" s="3"/>
      <c r="L943" s="3"/>
    </row>
    <row r="944">
      <c r="C944" s="3"/>
      <c r="E944" s="3"/>
      <c r="K944" s="3"/>
      <c r="L944" s="3"/>
    </row>
    <row r="945">
      <c r="C945" s="3"/>
      <c r="E945" s="3"/>
      <c r="K945" s="3"/>
      <c r="L945" s="3"/>
    </row>
    <row r="946">
      <c r="C946" s="3"/>
      <c r="E946" s="3"/>
      <c r="K946" s="3"/>
      <c r="L946" s="3"/>
    </row>
    <row r="947">
      <c r="C947" s="3"/>
      <c r="E947" s="3"/>
      <c r="K947" s="3"/>
      <c r="L947" s="3"/>
    </row>
    <row r="948">
      <c r="C948" s="3"/>
      <c r="E948" s="3"/>
      <c r="K948" s="3"/>
      <c r="L948" s="3"/>
    </row>
    <row r="949">
      <c r="C949" s="3"/>
      <c r="E949" s="3"/>
      <c r="K949" s="3"/>
      <c r="L949" s="3"/>
    </row>
    <row r="950">
      <c r="C950" s="3"/>
      <c r="E950" s="3"/>
      <c r="K950" s="3"/>
      <c r="L950" s="3"/>
    </row>
    <row r="951">
      <c r="C951" s="3"/>
      <c r="E951" s="3"/>
      <c r="K951" s="3"/>
      <c r="L951" s="3"/>
    </row>
    <row r="952">
      <c r="C952" s="3"/>
      <c r="E952" s="3"/>
      <c r="K952" s="3"/>
      <c r="L952" s="3"/>
    </row>
    <row r="953">
      <c r="C953" s="3"/>
      <c r="E953" s="3"/>
      <c r="K953" s="3"/>
      <c r="L953" s="3"/>
    </row>
    <row r="954">
      <c r="C954" s="3"/>
      <c r="E954" s="3"/>
      <c r="K954" s="3"/>
      <c r="L954" s="3"/>
    </row>
    <row r="955">
      <c r="C955" s="3"/>
      <c r="E955" s="3"/>
      <c r="K955" s="3"/>
      <c r="L955" s="3"/>
    </row>
    <row r="956">
      <c r="C956" s="3"/>
      <c r="E956" s="3"/>
      <c r="K956" s="3"/>
      <c r="L956" s="3"/>
    </row>
    <row r="957">
      <c r="C957" s="3"/>
      <c r="E957" s="3"/>
      <c r="K957" s="3"/>
      <c r="L957" s="3"/>
    </row>
    <row r="958">
      <c r="C958" s="3"/>
      <c r="E958" s="3"/>
      <c r="K958" s="3"/>
      <c r="L958" s="3"/>
    </row>
    <row r="959">
      <c r="C959" s="3"/>
      <c r="E959" s="3"/>
      <c r="K959" s="3"/>
      <c r="L959" s="3"/>
    </row>
    <row r="960">
      <c r="C960" s="3"/>
      <c r="E960" s="3"/>
      <c r="K960" s="3"/>
      <c r="L960" s="3"/>
    </row>
    <row r="961">
      <c r="C961" s="3"/>
      <c r="E961" s="3"/>
      <c r="K961" s="3"/>
      <c r="L961" s="3"/>
    </row>
    <row r="962">
      <c r="C962" s="3"/>
      <c r="E962" s="3"/>
      <c r="K962" s="3"/>
      <c r="L962" s="3"/>
    </row>
    <row r="963">
      <c r="C963" s="3"/>
      <c r="E963" s="3"/>
      <c r="K963" s="3"/>
      <c r="L963" s="3"/>
    </row>
    <row r="964">
      <c r="C964" s="3"/>
      <c r="E964" s="3"/>
      <c r="K964" s="3"/>
      <c r="L964" s="3"/>
    </row>
    <row r="965">
      <c r="C965" s="3"/>
      <c r="E965" s="3"/>
      <c r="K965" s="3"/>
      <c r="L965" s="3"/>
    </row>
    <row r="966">
      <c r="C966" s="3"/>
      <c r="E966" s="3"/>
      <c r="K966" s="3"/>
      <c r="L966" s="3"/>
    </row>
    <row r="967">
      <c r="C967" s="3"/>
      <c r="E967" s="3"/>
      <c r="K967" s="3"/>
      <c r="L967" s="3"/>
    </row>
    <row r="968">
      <c r="C968" s="3"/>
      <c r="E968" s="3"/>
      <c r="K968" s="3"/>
      <c r="L968" s="3"/>
    </row>
    <row r="969">
      <c r="C969" s="3"/>
      <c r="E969" s="3"/>
      <c r="K969" s="3"/>
      <c r="L969" s="3"/>
    </row>
    <row r="970">
      <c r="C970" s="3"/>
      <c r="E970" s="3"/>
      <c r="K970" s="3"/>
      <c r="L970" s="3"/>
    </row>
    <row r="971">
      <c r="C971" s="3"/>
      <c r="E971" s="3"/>
      <c r="K971" s="3"/>
      <c r="L971" s="3"/>
    </row>
    <row r="972">
      <c r="C972" s="3"/>
      <c r="E972" s="3"/>
      <c r="K972" s="3"/>
      <c r="L972" s="3"/>
    </row>
    <row r="973">
      <c r="C973" s="3"/>
      <c r="E973" s="3"/>
      <c r="K973" s="3"/>
      <c r="L973" s="3"/>
    </row>
    <row r="974">
      <c r="C974" s="3"/>
      <c r="E974" s="3"/>
      <c r="K974" s="3"/>
      <c r="L974" s="3"/>
    </row>
    <row r="975">
      <c r="C975" s="3"/>
      <c r="E975" s="3"/>
      <c r="K975" s="3"/>
      <c r="L975" s="3"/>
    </row>
    <row r="976">
      <c r="C976" s="3"/>
      <c r="E976" s="3"/>
      <c r="K976" s="3"/>
      <c r="L976" s="3"/>
    </row>
    <row r="977">
      <c r="C977" s="3"/>
      <c r="E977" s="3"/>
      <c r="K977" s="3"/>
      <c r="L977" s="3"/>
    </row>
    <row r="978">
      <c r="C978" s="3"/>
      <c r="E978" s="3"/>
      <c r="K978" s="3"/>
      <c r="L978" s="3"/>
    </row>
    <row r="979">
      <c r="C979" s="3"/>
      <c r="E979" s="3"/>
      <c r="K979" s="3"/>
      <c r="L979" s="3"/>
    </row>
    <row r="980">
      <c r="C980" s="3"/>
      <c r="E980" s="3"/>
      <c r="K980" s="3"/>
      <c r="L980" s="3"/>
    </row>
    <row r="981">
      <c r="C981" s="3"/>
      <c r="E981" s="3"/>
      <c r="K981" s="3"/>
      <c r="L981" s="3"/>
    </row>
    <row r="982">
      <c r="C982" s="3"/>
      <c r="E982" s="3"/>
      <c r="K982" s="3"/>
      <c r="L982" s="3"/>
    </row>
    <row r="983">
      <c r="C983" s="3"/>
      <c r="E983" s="3"/>
      <c r="K983" s="3"/>
      <c r="L983" s="3"/>
    </row>
    <row r="984">
      <c r="C984" s="3"/>
      <c r="E984" s="3"/>
      <c r="K984" s="3"/>
      <c r="L984" s="3"/>
    </row>
    <row r="985">
      <c r="C985" s="3"/>
      <c r="E985" s="3"/>
      <c r="K985" s="3"/>
      <c r="L985" s="3"/>
    </row>
    <row r="986">
      <c r="C986" s="3"/>
      <c r="E986" s="3"/>
      <c r="K986" s="3"/>
      <c r="L986" s="3"/>
    </row>
    <row r="987">
      <c r="C987" s="3"/>
      <c r="E987" s="3"/>
      <c r="K987" s="3"/>
      <c r="L987" s="3"/>
    </row>
    <row r="988">
      <c r="C988" s="3"/>
      <c r="E988" s="3"/>
      <c r="K988" s="3"/>
      <c r="L988" s="3"/>
    </row>
    <row r="989">
      <c r="C989" s="3"/>
      <c r="E989" s="3"/>
      <c r="K989" s="3"/>
      <c r="L989" s="3"/>
    </row>
    <row r="990">
      <c r="C990" s="3"/>
      <c r="E990" s="3"/>
      <c r="K990" s="3"/>
      <c r="L990" s="3"/>
    </row>
    <row r="991">
      <c r="C991" s="3"/>
      <c r="E991" s="3"/>
      <c r="K991" s="3"/>
      <c r="L991" s="3"/>
    </row>
    <row r="992">
      <c r="C992" s="3"/>
      <c r="E992" s="3"/>
      <c r="K992" s="3"/>
      <c r="L992" s="3"/>
    </row>
    <row r="993">
      <c r="C993" s="3"/>
      <c r="E993" s="3"/>
      <c r="K993" s="3"/>
      <c r="L993" s="3"/>
    </row>
    <row r="994">
      <c r="C994" s="3"/>
      <c r="E994" s="3"/>
      <c r="K994" s="3"/>
      <c r="L994" s="3"/>
    </row>
    <row r="995">
      <c r="C995" s="3"/>
      <c r="E995" s="3"/>
      <c r="K995" s="3"/>
      <c r="L995" s="3"/>
    </row>
    <row r="996">
      <c r="C996" s="3"/>
      <c r="E996" s="3"/>
      <c r="K996" s="3"/>
      <c r="L996" s="3"/>
    </row>
    <row r="997">
      <c r="C997" s="3"/>
      <c r="E997" s="3"/>
      <c r="K997" s="3"/>
      <c r="L997" s="3"/>
    </row>
    <row r="998">
      <c r="C998" s="3"/>
      <c r="E998" s="3"/>
      <c r="K998" s="3"/>
      <c r="L998" s="3"/>
    </row>
    <row r="999">
      <c r="C999" s="3"/>
      <c r="E999" s="3"/>
      <c r="K999" s="3"/>
      <c r="L999" s="3"/>
    </row>
    <row r="1000">
      <c r="C1000" s="3"/>
      <c r="E1000" s="3"/>
      <c r="K1000" s="3"/>
      <c r="L1000" s="3"/>
    </row>
    <row r="1001">
      <c r="C1001" s="3"/>
      <c r="E1001" s="3"/>
      <c r="K1001" s="3"/>
      <c r="L1001" s="3"/>
    </row>
    <row r="1002">
      <c r="C1002" s="3"/>
      <c r="E1002" s="3"/>
      <c r="K1002" s="3"/>
      <c r="L1002" s="3"/>
    </row>
    <row r="1003">
      <c r="C1003" s="3"/>
      <c r="E1003" s="3"/>
      <c r="K1003" s="3"/>
      <c r="L1003" s="3"/>
    </row>
    <row r="1004">
      <c r="C1004" s="3"/>
      <c r="E1004" s="3"/>
      <c r="K1004" s="3"/>
      <c r="L1004" s="3"/>
    </row>
    <row r="1005">
      <c r="C1005" s="3"/>
      <c r="E1005" s="3"/>
      <c r="K1005" s="3"/>
      <c r="L1005" s="3"/>
    </row>
    <row r="1006">
      <c r="C1006" s="3"/>
      <c r="E1006" s="3"/>
      <c r="K1006" s="3"/>
      <c r="L1006" s="3"/>
    </row>
    <row r="1007">
      <c r="C1007" s="3"/>
      <c r="E1007" s="3"/>
      <c r="K1007" s="3"/>
      <c r="L1007" s="3"/>
    </row>
    <row r="1008">
      <c r="C1008" s="3"/>
      <c r="E1008" s="3"/>
      <c r="K1008" s="3"/>
      <c r="L1008" s="3"/>
    </row>
    <row r="1009">
      <c r="C1009" s="3"/>
      <c r="E1009" s="3"/>
      <c r="K1009" s="3"/>
      <c r="L1009" s="3"/>
    </row>
    <row r="1010">
      <c r="C1010" s="3"/>
      <c r="E1010" s="3"/>
      <c r="K1010" s="3"/>
      <c r="L1010" s="3"/>
    </row>
    <row r="1011">
      <c r="C1011" s="3"/>
      <c r="E1011" s="3"/>
      <c r="K1011" s="3"/>
      <c r="L1011" s="3"/>
    </row>
    <row r="1012">
      <c r="C1012" s="3"/>
      <c r="E1012" s="3"/>
      <c r="K1012" s="3"/>
      <c r="L1012" s="3"/>
    </row>
  </sheetData>
  <autoFilter ref="$A$1:$J$66"/>
  <conditionalFormatting sqref="D3:D66">
    <cfRule type="notContainsBlanks" dxfId="0" priority="1">
      <formula>LEN(TRIM(D3))&gt;0</formula>
    </cfRule>
  </conditionalFormatting>
  <dataValidations>
    <dataValidation type="list" allowBlank="1" showErrorMessage="1" sqref="E3:E66">
      <formula1>"база данных,интеграция с ВК,интеграция с платежной системой,автоматические уведомления без сложной логики,AI-аналитика,администрирование,эскалация,интеграция с ТГ"</formula1>
    </dataValidation>
    <dataValidation type="list" allowBlank="1" showErrorMessage="1" sqref="D3:D66">
      <formula1>"must - база ,unic - фишка ,features - масштабирование,excite - восторг,eco - экосистема,неизвестно"</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0" t="s">
        <v>556</v>
      </c>
    </row>
    <row r="2">
      <c r="A2" s="117" t="s">
        <v>557</v>
      </c>
    </row>
    <row r="3">
      <c r="A3" s="117" t="s">
        <v>558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30.13"/>
    <col customWidth="1" min="3" max="3" width="56.38"/>
  </cols>
  <sheetData>
    <row r="1">
      <c r="A1" s="281" t="s">
        <v>559</v>
      </c>
      <c r="B1" s="281" t="s">
        <v>560</v>
      </c>
      <c r="C1" s="281" t="s">
        <v>418</v>
      </c>
      <c r="D1" s="281" t="s">
        <v>561</v>
      </c>
      <c r="E1" s="3"/>
      <c r="F1" s="3"/>
      <c r="G1" s="3"/>
      <c r="H1" s="3"/>
      <c r="I1" s="3"/>
      <c r="J1" s="3"/>
      <c r="K1" s="3"/>
      <c r="L1" s="3"/>
      <c r="M1" s="3"/>
      <c r="N1" s="3"/>
      <c r="O1" s="3"/>
      <c r="P1" s="3"/>
      <c r="Q1" s="3"/>
      <c r="R1" s="3"/>
      <c r="S1" s="3"/>
      <c r="T1" s="3"/>
      <c r="U1" s="3"/>
      <c r="V1" s="3"/>
      <c r="W1" s="3"/>
      <c r="X1" s="3"/>
      <c r="Y1" s="3"/>
      <c r="Z1" s="3"/>
    </row>
    <row r="2">
      <c r="A2" s="3"/>
      <c r="B2" s="118" t="s">
        <v>562</v>
      </c>
      <c r="C2" s="118" t="s">
        <v>563</v>
      </c>
      <c r="D2" s="118">
        <v>2.0</v>
      </c>
      <c r="E2" s="3"/>
      <c r="F2" s="3"/>
      <c r="G2" s="3"/>
      <c r="H2" s="3"/>
      <c r="I2" s="3"/>
      <c r="J2" s="3"/>
      <c r="K2" s="3"/>
      <c r="L2" s="3"/>
      <c r="M2" s="3"/>
      <c r="N2" s="3"/>
      <c r="O2" s="3"/>
      <c r="P2" s="3"/>
      <c r="Q2" s="3"/>
      <c r="R2" s="3"/>
      <c r="S2" s="3"/>
      <c r="T2" s="3"/>
      <c r="U2" s="3"/>
      <c r="V2" s="3"/>
      <c r="W2" s="3"/>
      <c r="X2" s="3"/>
      <c r="Y2" s="3"/>
      <c r="Z2" s="3"/>
    </row>
    <row r="3">
      <c r="A3" s="3"/>
      <c r="B3" s="118" t="s">
        <v>564</v>
      </c>
      <c r="C3" s="118" t="s">
        <v>565</v>
      </c>
      <c r="D3" s="118">
        <v>5.0</v>
      </c>
      <c r="E3" s="3"/>
      <c r="F3" s="3"/>
      <c r="G3" s="3"/>
      <c r="H3" s="3"/>
      <c r="I3" s="3"/>
      <c r="J3" s="3"/>
      <c r="K3" s="3"/>
      <c r="L3" s="3"/>
      <c r="M3" s="3"/>
      <c r="N3" s="3"/>
      <c r="O3" s="3"/>
      <c r="P3" s="3"/>
      <c r="Q3" s="3"/>
      <c r="R3" s="3"/>
      <c r="S3" s="3"/>
      <c r="T3" s="3"/>
      <c r="U3" s="3"/>
      <c r="V3" s="3"/>
      <c r="W3" s="3"/>
      <c r="X3" s="3"/>
      <c r="Y3" s="3"/>
      <c r="Z3" s="3"/>
    </row>
    <row r="4">
      <c r="A4" s="3"/>
      <c r="B4" s="118" t="s">
        <v>566</v>
      </c>
      <c r="C4" s="118" t="s">
        <v>567</v>
      </c>
      <c r="D4" s="118">
        <v>0.5</v>
      </c>
      <c r="E4" s="3"/>
      <c r="F4" s="3"/>
      <c r="G4" s="3"/>
      <c r="H4" s="3"/>
      <c r="I4" s="3"/>
      <c r="J4" s="3"/>
      <c r="K4" s="3"/>
      <c r="L4" s="3"/>
      <c r="M4" s="3"/>
      <c r="N4" s="3"/>
      <c r="O4" s="3"/>
      <c r="P4" s="3"/>
      <c r="Q4" s="3"/>
      <c r="R4" s="3"/>
      <c r="S4" s="3"/>
      <c r="T4" s="3"/>
      <c r="U4" s="3"/>
      <c r="V4" s="3"/>
      <c r="W4" s="3"/>
      <c r="X4" s="3"/>
      <c r="Y4" s="3"/>
      <c r="Z4" s="3"/>
    </row>
    <row r="5">
      <c r="A5" s="3"/>
      <c r="B5" s="118" t="s">
        <v>568</v>
      </c>
      <c r="C5" s="118" t="s">
        <v>569</v>
      </c>
      <c r="D5" s="118">
        <v>2.0</v>
      </c>
      <c r="E5" s="3"/>
      <c r="F5" s="3"/>
      <c r="G5" s="3"/>
      <c r="H5" s="3"/>
      <c r="I5" s="3"/>
      <c r="J5" s="3"/>
      <c r="K5" s="3"/>
      <c r="L5" s="3"/>
      <c r="M5" s="3"/>
      <c r="N5" s="3"/>
      <c r="O5" s="3"/>
      <c r="P5" s="3"/>
      <c r="Q5" s="3"/>
      <c r="R5" s="3"/>
      <c r="S5" s="3"/>
      <c r="T5" s="3"/>
      <c r="U5" s="3"/>
      <c r="V5" s="3"/>
      <c r="W5" s="3"/>
      <c r="X5" s="3"/>
      <c r="Y5" s="3"/>
      <c r="Z5" s="3"/>
    </row>
    <row r="6">
      <c r="A6" s="3"/>
      <c r="B6" s="118" t="s">
        <v>570</v>
      </c>
      <c r="C6" s="118" t="s">
        <v>571</v>
      </c>
      <c r="D6" s="118">
        <v>8.0</v>
      </c>
      <c r="E6" s="3"/>
      <c r="F6" s="3"/>
      <c r="G6" s="3"/>
      <c r="H6" s="3"/>
      <c r="I6" s="3"/>
      <c r="J6" s="3"/>
      <c r="K6" s="3"/>
      <c r="L6" s="3"/>
      <c r="M6" s="3"/>
      <c r="N6" s="3"/>
      <c r="O6" s="3"/>
      <c r="P6" s="3"/>
      <c r="Q6" s="3"/>
      <c r="R6" s="3"/>
      <c r="S6" s="3"/>
      <c r="T6" s="3"/>
      <c r="U6" s="3"/>
      <c r="V6" s="3"/>
      <c r="W6" s="3"/>
      <c r="X6" s="3"/>
      <c r="Y6" s="3"/>
      <c r="Z6" s="3"/>
    </row>
    <row r="7">
      <c r="A7" s="3"/>
      <c r="B7" s="118" t="s">
        <v>572</v>
      </c>
      <c r="C7" s="118" t="s">
        <v>573</v>
      </c>
      <c r="D7" s="118">
        <v>2.0</v>
      </c>
      <c r="E7" s="3"/>
      <c r="F7" s="3"/>
      <c r="G7" s="3"/>
      <c r="H7" s="3"/>
      <c r="I7" s="3"/>
      <c r="J7" s="3"/>
      <c r="K7" s="3"/>
      <c r="L7" s="3"/>
      <c r="M7" s="3"/>
      <c r="N7" s="3"/>
      <c r="O7" s="3"/>
      <c r="P7" s="3"/>
      <c r="Q7" s="3"/>
      <c r="R7" s="3"/>
      <c r="S7" s="3"/>
      <c r="T7" s="3"/>
      <c r="U7" s="3"/>
      <c r="V7" s="3"/>
      <c r="W7" s="3"/>
      <c r="X7" s="3"/>
      <c r="Y7" s="3"/>
      <c r="Z7" s="3"/>
    </row>
    <row r="8">
      <c r="A8" s="3"/>
      <c r="B8" s="118" t="s">
        <v>574</v>
      </c>
      <c r="C8" s="118" t="s">
        <v>575</v>
      </c>
      <c r="D8" s="118">
        <v>0.5</v>
      </c>
      <c r="E8" s="3"/>
      <c r="F8" s="3"/>
      <c r="G8" s="3"/>
      <c r="H8" s="3"/>
      <c r="I8" s="3"/>
      <c r="J8" s="3"/>
      <c r="K8" s="3"/>
      <c r="L8" s="3"/>
      <c r="M8" s="3"/>
      <c r="N8" s="3"/>
      <c r="O8" s="3"/>
      <c r="P8" s="3"/>
      <c r="Q8" s="3"/>
      <c r="R8" s="3"/>
      <c r="S8" s="3"/>
      <c r="T8" s="3"/>
      <c r="U8" s="3"/>
      <c r="V8" s="3"/>
      <c r="W8" s="3"/>
      <c r="X8" s="3"/>
      <c r="Y8" s="3"/>
      <c r="Z8" s="3"/>
    </row>
    <row r="9">
      <c r="A9" s="3"/>
      <c r="B9" s="118" t="s">
        <v>576</v>
      </c>
      <c r="C9" s="117" t="s">
        <v>577</v>
      </c>
      <c r="D9" s="118">
        <v>2.0</v>
      </c>
      <c r="E9" s="3"/>
      <c r="F9" s="3"/>
      <c r="G9" s="3"/>
      <c r="H9" s="3"/>
      <c r="I9" s="3"/>
      <c r="J9" s="3"/>
      <c r="K9" s="3"/>
      <c r="L9" s="3"/>
      <c r="M9" s="3"/>
      <c r="N9" s="3"/>
      <c r="O9" s="3"/>
      <c r="P9" s="3"/>
      <c r="Q9" s="3"/>
      <c r="R9" s="3"/>
      <c r="S9" s="3"/>
      <c r="T9" s="3"/>
      <c r="U9" s="3"/>
      <c r="V9" s="3"/>
      <c r="W9" s="3"/>
      <c r="X9" s="3"/>
      <c r="Y9" s="3"/>
      <c r="Z9" s="3"/>
    </row>
    <row r="10">
      <c r="A10" s="3"/>
      <c r="B10" s="118" t="s">
        <v>578</v>
      </c>
      <c r="C10" s="118" t="s">
        <v>579</v>
      </c>
      <c r="D10" s="118">
        <v>16.0</v>
      </c>
      <c r="E10" s="3"/>
      <c r="F10" s="3"/>
      <c r="G10" s="3"/>
      <c r="H10" s="3"/>
      <c r="I10" s="3"/>
      <c r="J10" s="3"/>
      <c r="K10" s="3"/>
      <c r="L10" s="3"/>
      <c r="M10" s="3"/>
      <c r="N10" s="3"/>
      <c r="O10" s="3"/>
      <c r="P10" s="3"/>
      <c r="Q10" s="3"/>
      <c r="R10" s="3"/>
      <c r="S10" s="3"/>
      <c r="T10" s="3"/>
      <c r="U10" s="3"/>
      <c r="V10" s="3"/>
      <c r="W10" s="3"/>
      <c r="X10" s="3"/>
      <c r="Y10" s="3"/>
      <c r="Z10" s="3"/>
    </row>
    <row r="11">
      <c r="A11" s="3"/>
      <c r="B11" s="118" t="s">
        <v>580</v>
      </c>
      <c r="C11" s="118" t="s">
        <v>581</v>
      </c>
      <c r="D11" s="118">
        <v>6.0</v>
      </c>
      <c r="E11" s="3"/>
      <c r="F11" s="3"/>
      <c r="G11" s="3"/>
      <c r="H11" s="3"/>
      <c r="I11" s="3"/>
      <c r="J11" s="3"/>
      <c r="K11" s="3"/>
      <c r="L11" s="3"/>
      <c r="M11" s="3"/>
      <c r="N11" s="3"/>
      <c r="O11" s="3"/>
      <c r="P11" s="3"/>
      <c r="Q11" s="3"/>
      <c r="R11" s="3"/>
      <c r="S11" s="3"/>
      <c r="T11" s="3"/>
      <c r="U11" s="3"/>
      <c r="V11" s="3"/>
      <c r="W11" s="3"/>
      <c r="X11" s="3"/>
      <c r="Y11" s="3"/>
      <c r="Z11" s="3"/>
    </row>
    <row r="12" ht="79.5" customHeight="1">
      <c r="A12" s="3"/>
      <c r="B12" s="118" t="s">
        <v>582</v>
      </c>
      <c r="C12" s="118" t="s">
        <v>583</v>
      </c>
      <c r="D12" s="118">
        <v>16.0</v>
      </c>
      <c r="E12" s="3"/>
      <c r="F12" s="3"/>
      <c r="G12" s="3"/>
      <c r="H12" s="3"/>
      <c r="I12" s="3"/>
      <c r="J12" s="3"/>
      <c r="K12" s="3"/>
      <c r="L12" s="3"/>
      <c r="M12" s="3"/>
      <c r="N12" s="3"/>
      <c r="O12" s="3"/>
      <c r="P12" s="3"/>
      <c r="Q12" s="3"/>
      <c r="R12" s="3"/>
      <c r="S12" s="3"/>
      <c r="T12" s="3"/>
      <c r="U12" s="3"/>
      <c r="V12" s="3"/>
      <c r="W12" s="3"/>
      <c r="X12" s="3"/>
      <c r="Y12" s="3"/>
      <c r="Z12" s="3"/>
    </row>
    <row r="13">
      <c r="A13" s="3"/>
      <c r="B13" s="118" t="s">
        <v>584</v>
      </c>
      <c r="C13" s="118" t="s">
        <v>585</v>
      </c>
      <c r="D13" s="118">
        <v>3.0</v>
      </c>
      <c r="E13" s="3"/>
      <c r="F13" s="3"/>
      <c r="G13" s="3"/>
      <c r="H13" s="3"/>
      <c r="I13" s="3"/>
      <c r="J13" s="3"/>
      <c r="K13" s="3"/>
      <c r="L13" s="3"/>
      <c r="M13" s="3"/>
      <c r="N13" s="3"/>
      <c r="O13" s="3"/>
      <c r="P13" s="3"/>
      <c r="Q13" s="3"/>
      <c r="R13" s="3"/>
      <c r="S13" s="3"/>
      <c r="T13" s="3"/>
      <c r="U13" s="3"/>
      <c r="V13" s="3"/>
      <c r="W13" s="3"/>
      <c r="X13" s="3"/>
      <c r="Y13" s="3"/>
      <c r="Z13" s="3"/>
    </row>
    <row r="14">
      <c r="A14" s="3"/>
      <c r="B14" s="118" t="s">
        <v>586</v>
      </c>
      <c r="C14" s="118" t="s">
        <v>587</v>
      </c>
      <c r="D14" s="118">
        <v>12.0</v>
      </c>
      <c r="E14" s="3"/>
      <c r="F14" s="3"/>
      <c r="G14" s="3"/>
      <c r="H14" s="3"/>
      <c r="I14" s="3"/>
      <c r="J14" s="3"/>
      <c r="K14" s="3"/>
      <c r="L14" s="3"/>
      <c r="M14" s="3"/>
      <c r="N14" s="3"/>
      <c r="O14" s="3"/>
      <c r="P14" s="3"/>
      <c r="Q14" s="3"/>
      <c r="R14" s="3"/>
      <c r="S14" s="3"/>
      <c r="T14" s="3"/>
      <c r="U14" s="3"/>
      <c r="V14" s="3"/>
      <c r="W14" s="3"/>
      <c r="X14" s="3"/>
      <c r="Y14" s="3"/>
      <c r="Z14" s="3"/>
    </row>
    <row r="15">
      <c r="A15" s="3"/>
      <c r="B15" s="118" t="s">
        <v>588</v>
      </c>
      <c r="C15" s="118" t="s">
        <v>589</v>
      </c>
      <c r="D15" s="118">
        <v>3.0</v>
      </c>
      <c r="E15" s="3"/>
      <c r="F15" s="3"/>
      <c r="G15" s="3"/>
      <c r="H15" s="3"/>
      <c r="I15" s="3"/>
      <c r="J15" s="3"/>
      <c r="K15" s="3"/>
      <c r="L15" s="3"/>
      <c r="M15" s="3"/>
      <c r="N15" s="3"/>
      <c r="O15" s="3"/>
      <c r="P15" s="3"/>
      <c r="Q15" s="3"/>
      <c r="R15" s="3"/>
      <c r="S15" s="3"/>
      <c r="T15" s="3"/>
      <c r="U15" s="3"/>
      <c r="V15" s="3"/>
      <c r="W15" s="3"/>
      <c r="X15" s="3"/>
      <c r="Y15" s="3"/>
      <c r="Z15" s="3"/>
    </row>
    <row r="16">
      <c r="A16" s="3"/>
      <c r="B16" s="118" t="s">
        <v>590</v>
      </c>
      <c r="C16" s="118" t="s">
        <v>591</v>
      </c>
      <c r="D16" s="118">
        <v>6.0</v>
      </c>
      <c r="E16" s="3"/>
      <c r="F16" s="3"/>
      <c r="G16" s="3"/>
      <c r="H16" s="3"/>
      <c r="I16" s="3"/>
      <c r="J16" s="3"/>
      <c r="K16" s="3"/>
      <c r="L16" s="3"/>
      <c r="M16" s="3"/>
      <c r="N16" s="3"/>
      <c r="O16" s="3"/>
      <c r="P16" s="3"/>
      <c r="Q16" s="3"/>
      <c r="R16" s="3"/>
      <c r="S16" s="3"/>
      <c r="T16" s="3"/>
      <c r="U16" s="3"/>
      <c r="V16" s="3"/>
      <c r="W16" s="3"/>
      <c r="X16" s="3"/>
      <c r="Y16" s="3"/>
      <c r="Z16" s="3"/>
    </row>
    <row r="17">
      <c r="A17" s="3"/>
      <c r="B17" s="118" t="s">
        <v>592</v>
      </c>
      <c r="C17" s="118" t="s">
        <v>593</v>
      </c>
      <c r="D17" s="118">
        <v>3.0</v>
      </c>
      <c r="E17" s="3"/>
      <c r="F17" s="3"/>
      <c r="G17" s="3"/>
      <c r="H17" s="3"/>
      <c r="I17" s="3"/>
      <c r="J17" s="3"/>
      <c r="K17" s="3"/>
      <c r="L17" s="3"/>
      <c r="M17" s="3"/>
      <c r="N17" s="3"/>
      <c r="O17" s="3"/>
      <c r="P17" s="3"/>
      <c r="Q17" s="3"/>
      <c r="R17" s="3"/>
      <c r="S17" s="3"/>
      <c r="T17" s="3"/>
      <c r="U17" s="3"/>
      <c r="V17" s="3"/>
      <c r="W17" s="3"/>
      <c r="X17" s="3"/>
      <c r="Y17" s="3"/>
      <c r="Z17" s="3"/>
    </row>
    <row r="18">
      <c r="A18" s="3"/>
      <c r="B18" s="118" t="s">
        <v>594</v>
      </c>
      <c r="C18" s="118" t="s">
        <v>595</v>
      </c>
      <c r="D18" s="118">
        <v>18.0</v>
      </c>
      <c r="E18" s="3"/>
      <c r="F18" s="3"/>
      <c r="G18" s="3"/>
      <c r="H18" s="3"/>
      <c r="I18" s="3"/>
      <c r="J18" s="3"/>
      <c r="K18" s="3"/>
      <c r="L18" s="3"/>
      <c r="M18" s="3"/>
      <c r="N18" s="3"/>
      <c r="O18" s="3"/>
      <c r="P18" s="3"/>
      <c r="Q18" s="3"/>
      <c r="R18" s="3"/>
      <c r="S18" s="3"/>
      <c r="T18" s="3"/>
      <c r="U18" s="3"/>
      <c r="V18" s="3"/>
      <c r="W18" s="3"/>
      <c r="X18" s="3"/>
      <c r="Y18" s="3"/>
      <c r="Z18" s="3"/>
    </row>
    <row r="19">
      <c r="A19" s="3"/>
      <c r="B19" s="118" t="s">
        <v>596</v>
      </c>
      <c r="C19" s="118" t="s">
        <v>597</v>
      </c>
      <c r="D19" s="118">
        <v>3.0</v>
      </c>
      <c r="E19" s="3"/>
      <c r="F19" s="3"/>
      <c r="G19" s="3"/>
      <c r="H19" s="3"/>
      <c r="I19" s="3"/>
      <c r="J19" s="3"/>
      <c r="K19" s="3"/>
      <c r="L19" s="3"/>
      <c r="M19" s="3"/>
      <c r="N19" s="3"/>
      <c r="O19" s="3"/>
      <c r="P19" s="3"/>
      <c r="Q19" s="3"/>
      <c r="R19" s="3"/>
      <c r="S19" s="3"/>
      <c r="T19" s="3"/>
      <c r="U19" s="3"/>
      <c r="V19" s="3"/>
      <c r="W19" s="3"/>
      <c r="X19" s="3"/>
      <c r="Y19" s="3"/>
      <c r="Z19" s="3"/>
    </row>
    <row r="20">
      <c r="A20" s="3"/>
      <c r="B20" s="118" t="s">
        <v>598</v>
      </c>
      <c r="C20" s="118" t="s">
        <v>599</v>
      </c>
      <c r="D20" s="118">
        <v>5.0</v>
      </c>
      <c r="E20" s="3"/>
      <c r="F20" s="3"/>
      <c r="G20" s="3"/>
      <c r="H20" s="3"/>
      <c r="I20" s="3"/>
      <c r="J20" s="3"/>
      <c r="K20" s="3"/>
      <c r="L20" s="3"/>
      <c r="M20" s="3"/>
      <c r="N20" s="3"/>
      <c r="O20" s="3"/>
      <c r="P20" s="3"/>
      <c r="Q20" s="3"/>
      <c r="R20" s="3"/>
      <c r="S20" s="3"/>
      <c r="T20" s="3"/>
      <c r="U20" s="3"/>
      <c r="V20" s="3"/>
      <c r="W20" s="3"/>
      <c r="X20" s="3"/>
      <c r="Y20" s="3"/>
      <c r="Z20" s="3"/>
    </row>
    <row r="21">
      <c r="A21" s="3"/>
      <c r="B21" s="118" t="s">
        <v>600</v>
      </c>
      <c r="C21" s="118" t="s">
        <v>601</v>
      </c>
      <c r="D21" s="118">
        <v>16.0</v>
      </c>
      <c r="E21" s="3"/>
      <c r="F21" s="3"/>
      <c r="G21" s="3"/>
      <c r="H21" s="3"/>
      <c r="I21" s="3"/>
      <c r="J21" s="3"/>
      <c r="K21" s="3"/>
      <c r="L21" s="3"/>
      <c r="M21" s="3"/>
      <c r="N21" s="3"/>
      <c r="O21" s="3"/>
      <c r="P21" s="3"/>
      <c r="Q21" s="3"/>
      <c r="R21" s="3"/>
      <c r="S21" s="3"/>
      <c r="T21" s="3"/>
      <c r="U21" s="3"/>
      <c r="V21" s="3"/>
      <c r="W21" s="3"/>
      <c r="X21" s="3"/>
      <c r="Y21" s="3"/>
      <c r="Z21" s="3"/>
    </row>
    <row r="22">
      <c r="A22" s="3"/>
      <c r="B22" s="118" t="s">
        <v>602</v>
      </c>
      <c r="C22" s="118" t="s">
        <v>603</v>
      </c>
      <c r="D22" s="118">
        <v>16.0</v>
      </c>
      <c r="E22" s="3"/>
      <c r="F22" s="3"/>
      <c r="G22" s="3"/>
      <c r="H22" s="3"/>
      <c r="I22" s="3"/>
      <c r="J22" s="3"/>
      <c r="K22" s="3"/>
      <c r="L22" s="3"/>
      <c r="M22" s="3"/>
      <c r="N22" s="3"/>
      <c r="O22" s="3"/>
      <c r="P22" s="3"/>
      <c r="Q22" s="3"/>
      <c r="R22" s="3"/>
      <c r="S22" s="3"/>
      <c r="T22" s="3"/>
      <c r="U22" s="3"/>
      <c r="V22" s="3"/>
      <c r="W22" s="3"/>
      <c r="X22" s="3"/>
      <c r="Y22" s="3"/>
      <c r="Z22" s="3"/>
    </row>
    <row r="23">
      <c r="A23" s="3"/>
      <c r="B23" s="3"/>
      <c r="C23" s="3"/>
      <c r="D23" s="3">
        <f>SUM(D2:D22)</f>
        <v>145</v>
      </c>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63"/>
    <col customWidth="1" min="3" max="3" width="19.38"/>
  </cols>
  <sheetData>
    <row r="1">
      <c r="A1" s="261" t="s">
        <v>556</v>
      </c>
      <c r="B1" s="261" t="s">
        <v>256</v>
      </c>
      <c r="C1" s="261" t="s">
        <v>604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3" width="16.25"/>
    <col customWidth="1" min="4" max="4" width="16.38"/>
    <col customWidth="1" min="5" max="5" width="15.38"/>
    <col customWidth="1" min="7" max="9" width="10.63"/>
    <col customWidth="1" min="10" max="10" width="13.25"/>
    <col customWidth="1" min="12" max="12" width="24.13"/>
    <col customWidth="1" min="13" max="13" width="27.5"/>
    <col customWidth="1" min="14" max="14" width="19.0"/>
    <col customWidth="1" min="15" max="15" width="18.13"/>
  </cols>
  <sheetData>
    <row r="1">
      <c r="A1" s="282" t="s">
        <v>605</v>
      </c>
      <c r="B1" s="283" t="s">
        <v>606</v>
      </c>
      <c r="C1" s="283" t="s">
        <v>607</v>
      </c>
      <c r="D1" s="283" t="s">
        <v>608</v>
      </c>
      <c r="E1" s="283" t="s">
        <v>609</v>
      </c>
      <c r="F1" s="284" t="s">
        <v>610</v>
      </c>
      <c r="G1" s="282" t="s">
        <v>442</v>
      </c>
      <c r="H1" s="282" t="s">
        <v>611</v>
      </c>
      <c r="I1" s="282" t="s">
        <v>612</v>
      </c>
      <c r="J1" s="282" t="s">
        <v>613</v>
      </c>
      <c r="K1" s="283" t="s">
        <v>614</v>
      </c>
      <c r="L1" s="283" t="s">
        <v>615</v>
      </c>
      <c r="M1" s="283" t="s">
        <v>616</v>
      </c>
      <c r="N1" s="282" t="s">
        <v>617</v>
      </c>
      <c r="O1" s="285" t="s">
        <v>618</v>
      </c>
      <c r="P1" s="286" t="s">
        <v>619</v>
      </c>
      <c r="Q1" s="287"/>
      <c r="R1" s="288">
        <f>SUM(R2:R19)</f>
        <v>0</v>
      </c>
      <c r="S1" s="289">
        <v>100.0</v>
      </c>
      <c r="T1" s="288"/>
      <c r="U1" s="288"/>
      <c r="V1" s="288"/>
      <c r="W1" s="288"/>
      <c r="X1" s="288"/>
      <c r="Y1" s="288"/>
      <c r="Z1" s="288"/>
      <c r="AA1" s="288"/>
      <c r="AB1" s="288"/>
    </row>
    <row r="2">
      <c r="A2" s="290">
        <v>1.0</v>
      </c>
      <c r="B2" s="290" t="s">
        <v>620</v>
      </c>
      <c r="C2" s="291"/>
      <c r="D2" s="292" t="s">
        <v>621</v>
      </c>
      <c r="E2" s="292">
        <v>6.0</v>
      </c>
      <c r="F2" s="293">
        <v>700.0</v>
      </c>
      <c r="G2" s="294"/>
      <c r="H2" s="294"/>
      <c r="I2" s="295">
        <f t="shared" ref="I2:I18" si="1">F2*E2-H2</f>
        <v>4200</v>
      </c>
      <c r="J2" s="292">
        <v>8.9315315413E10</v>
      </c>
      <c r="K2" s="294"/>
      <c r="L2" s="296"/>
      <c r="M2" s="287" t="s">
        <v>622</v>
      </c>
      <c r="N2" s="297">
        <v>46041.754166666666</v>
      </c>
      <c r="O2" s="298" t="s">
        <v>623</v>
      </c>
      <c r="P2" s="292" t="s">
        <v>624</v>
      </c>
      <c r="R2" s="155">
        <f t="shared" ref="R2:R19" si="2">IF(M2=$Q$1,IF(B2="Оплачено",E2,0),0)</f>
        <v>0</v>
      </c>
    </row>
    <row r="3">
      <c r="A3" s="290">
        <v>2.0</v>
      </c>
      <c r="B3" s="290" t="s">
        <v>620</v>
      </c>
      <c r="C3" s="291" t="s">
        <v>625</v>
      </c>
      <c r="D3" s="292" t="s">
        <v>626</v>
      </c>
      <c r="E3" s="292">
        <v>5.0</v>
      </c>
      <c r="F3" s="293">
        <v>700.0</v>
      </c>
      <c r="G3" s="294"/>
      <c r="H3" s="294"/>
      <c r="I3" s="295">
        <f t="shared" si="1"/>
        <v>3500</v>
      </c>
      <c r="J3" s="292">
        <v>8.9522956533E10</v>
      </c>
      <c r="K3" s="294"/>
      <c r="L3" s="296"/>
      <c r="M3" s="287" t="s">
        <v>622</v>
      </c>
      <c r="N3" s="297">
        <v>46041.754166666666</v>
      </c>
      <c r="O3" s="298" t="s">
        <v>627</v>
      </c>
      <c r="P3" s="292" t="s">
        <v>624</v>
      </c>
      <c r="R3" s="155">
        <f t="shared" si="2"/>
        <v>0</v>
      </c>
    </row>
    <row r="4">
      <c r="A4" s="290">
        <v>3.0</v>
      </c>
      <c r="B4" s="290" t="s">
        <v>620</v>
      </c>
      <c r="C4" s="291" t="s">
        <v>625</v>
      </c>
      <c r="D4" s="292" t="s">
        <v>628</v>
      </c>
      <c r="E4" s="292">
        <v>4.0</v>
      </c>
      <c r="F4" s="293">
        <v>700.0</v>
      </c>
      <c r="G4" s="294"/>
      <c r="H4" s="294"/>
      <c r="I4" s="295">
        <f t="shared" si="1"/>
        <v>2800</v>
      </c>
      <c r="J4" s="292">
        <v>8.921383248E10</v>
      </c>
      <c r="K4" s="294"/>
      <c r="L4" s="296"/>
      <c r="M4" s="287" t="s">
        <v>622</v>
      </c>
      <c r="N4" s="297">
        <v>46041.75763888889</v>
      </c>
      <c r="O4" s="298" t="s">
        <v>629</v>
      </c>
      <c r="P4" s="292" t="s">
        <v>624</v>
      </c>
      <c r="R4" s="155">
        <f t="shared" si="2"/>
        <v>0</v>
      </c>
    </row>
    <row r="5">
      <c r="A5" s="290">
        <v>4.0</v>
      </c>
      <c r="B5" s="290" t="s">
        <v>630</v>
      </c>
      <c r="C5" s="299" t="s">
        <v>631</v>
      </c>
      <c r="D5" s="292" t="s">
        <v>632</v>
      </c>
      <c r="E5" s="292">
        <v>2.0</v>
      </c>
      <c r="F5" s="293">
        <v>700.0</v>
      </c>
      <c r="G5" s="294"/>
      <c r="H5" s="294"/>
      <c r="I5" s="295">
        <f t="shared" si="1"/>
        <v>1400</v>
      </c>
      <c r="J5" s="292">
        <v>8.9119990478E10</v>
      </c>
      <c r="L5" s="292" t="s">
        <v>633</v>
      </c>
      <c r="M5" s="287" t="s">
        <v>622</v>
      </c>
      <c r="N5" s="297">
        <v>46041.76666666667</v>
      </c>
      <c r="O5" s="298" t="s">
        <v>634</v>
      </c>
      <c r="P5" s="292" t="s">
        <v>624</v>
      </c>
      <c r="R5" s="155">
        <f t="shared" si="2"/>
        <v>0</v>
      </c>
    </row>
    <row r="6">
      <c r="A6" s="290">
        <v>5.0</v>
      </c>
      <c r="B6" s="290" t="s">
        <v>620</v>
      </c>
      <c r="C6" s="291" t="s">
        <v>625</v>
      </c>
      <c r="D6" s="292" t="s">
        <v>635</v>
      </c>
      <c r="E6" s="292">
        <v>4.0</v>
      </c>
      <c r="F6" s="293">
        <v>560.0</v>
      </c>
      <c r="G6" s="294"/>
      <c r="H6" s="294"/>
      <c r="I6" s="295">
        <f t="shared" si="1"/>
        <v>2240</v>
      </c>
      <c r="J6" s="292">
        <v>8.931257697E10</v>
      </c>
      <c r="L6" s="300" t="s">
        <v>636</v>
      </c>
      <c r="M6" s="287" t="s">
        <v>622</v>
      </c>
      <c r="N6" s="297">
        <v>46041.77569444444</v>
      </c>
      <c r="O6" s="298" t="s">
        <v>637</v>
      </c>
      <c r="P6" s="292" t="s">
        <v>624</v>
      </c>
      <c r="R6" s="155">
        <f t="shared" si="2"/>
        <v>0</v>
      </c>
    </row>
    <row r="7">
      <c r="A7" s="290">
        <v>6.0</v>
      </c>
      <c r="B7" s="290" t="s">
        <v>630</v>
      </c>
      <c r="C7" s="291" t="s">
        <v>625</v>
      </c>
      <c r="D7" s="292" t="s">
        <v>638</v>
      </c>
      <c r="E7" s="300">
        <v>9.0</v>
      </c>
      <c r="F7" s="293">
        <v>700.0</v>
      </c>
      <c r="G7" s="294"/>
      <c r="H7" s="294"/>
      <c r="I7" s="295">
        <f t="shared" si="1"/>
        <v>6300</v>
      </c>
      <c r="J7" s="292">
        <v>8.9657933991E10</v>
      </c>
      <c r="K7" s="294"/>
      <c r="L7" s="296"/>
      <c r="M7" s="287" t="s">
        <v>622</v>
      </c>
      <c r="N7" s="297">
        <v>46041.78402777778</v>
      </c>
      <c r="O7" s="301" t="s">
        <v>639</v>
      </c>
      <c r="P7" s="292" t="s">
        <v>624</v>
      </c>
      <c r="R7" s="155">
        <f t="shared" si="2"/>
        <v>0</v>
      </c>
    </row>
    <row r="8">
      <c r="A8" s="290">
        <v>7.0</v>
      </c>
      <c r="B8" s="290" t="s">
        <v>620</v>
      </c>
      <c r="C8" s="291" t="s">
        <v>625</v>
      </c>
      <c r="D8" s="292" t="s">
        <v>640</v>
      </c>
      <c r="E8" s="292">
        <v>4.0</v>
      </c>
      <c r="F8" s="293">
        <v>700.0</v>
      </c>
      <c r="G8" s="294"/>
      <c r="H8" s="294"/>
      <c r="I8" s="295">
        <f t="shared" si="1"/>
        <v>2800</v>
      </c>
      <c r="J8" s="292">
        <v>8.9196960307E10</v>
      </c>
      <c r="K8" s="294"/>
      <c r="L8" s="296"/>
      <c r="M8" s="287" t="s">
        <v>622</v>
      </c>
      <c r="N8" s="297">
        <v>46041.81458333333</v>
      </c>
      <c r="O8" s="301" t="s">
        <v>641</v>
      </c>
      <c r="P8" s="292" t="s">
        <v>624</v>
      </c>
      <c r="R8" s="155">
        <f t="shared" si="2"/>
        <v>0</v>
      </c>
      <c r="T8" s="117" t="s">
        <v>642</v>
      </c>
    </row>
    <row r="9">
      <c r="A9" s="290">
        <v>8.0</v>
      </c>
      <c r="B9" s="290" t="s">
        <v>643</v>
      </c>
      <c r="C9" s="299" t="s">
        <v>631</v>
      </c>
      <c r="D9" s="292" t="s">
        <v>644</v>
      </c>
      <c r="E9" s="292">
        <v>4.0</v>
      </c>
      <c r="F9" s="293">
        <v>490.0</v>
      </c>
      <c r="G9" s="294"/>
      <c r="H9" s="294"/>
      <c r="I9" s="295">
        <f t="shared" si="1"/>
        <v>1960</v>
      </c>
      <c r="J9" s="292">
        <v>8.9817247006E10</v>
      </c>
      <c r="L9" s="292" t="s">
        <v>645</v>
      </c>
      <c r="M9" s="287" t="s">
        <v>622</v>
      </c>
      <c r="N9" s="297">
        <v>46041.941666666666</v>
      </c>
      <c r="O9" s="298" t="s">
        <v>646</v>
      </c>
      <c r="P9" s="292" t="s">
        <v>624</v>
      </c>
      <c r="R9" s="155">
        <f t="shared" si="2"/>
        <v>0</v>
      </c>
    </row>
    <row r="10">
      <c r="A10" s="290">
        <v>9.0</v>
      </c>
      <c r="B10" s="290" t="s">
        <v>620</v>
      </c>
      <c r="C10" s="302" t="s">
        <v>647</v>
      </c>
      <c r="D10" s="292" t="s">
        <v>648</v>
      </c>
      <c r="E10" s="300">
        <v>5.0</v>
      </c>
      <c r="F10" s="293">
        <v>700.0</v>
      </c>
      <c r="G10" s="294"/>
      <c r="H10" s="294"/>
      <c r="I10" s="295">
        <f t="shared" si="1"/>
        <v>3500</v>
      </c>
      <c r="J10" s="292">
        <f>+79112231363</f>
        <v>79112231363</v>
      </c>
      <c r="K10" s="294"/>
      <c r="L10" s="296"/>
      <c r="M10" s="287" t="s">
        <v>622</v>
      </c>
      <c r="N10" s="297">
        <v>46042.736805555556</v>
      </c>
      <c r="O10" s="303" t="s">
        <v>649</v>
      </c>
      <c r="P10" s="292" t="s">
        <v>624</v>
      </c>
      <c r="R10" s="155">
        <f t="shared" si="2"/>
        <v>0</v>
      </c>
    </row>
    <row r="11">
      <c r="A11" s="290">
        <v>10.0</v>
      </c>
      <c r="B11" s="290" t="s">
        <v>620</v>
      </c>
      <c r="C11" s="299" t="s">
        <v>631</v>
      </c>
      <c r="D11" s="292" t="s">
        <v>650</v>
      </c>
      <c r="E11" s="292">
        <v>9.0</v>
      </c>
      <c r="F11" s="293">
        <v>700.0</v>
      </c>
      <c r="G11" s="294"/>
      <c r="H11" s="294"/>
      <c r="I11" s="295">
        <f t="shared" si="1"/>
        <v>6300</v>
      </c>
      <c r="J11" s="292">
        <f>+79218904118</f>
        <v>79218904118</v>
      </c>
      <c r="K11" s="294"/>
      <c r="L11" s="296"/>
      <c r="M11" s="287" t="s">
        <v>622</v>
      </c>
      <c r="N11" s="297">
        <v>46042.87430555555</v>
      </c>
      <c r="O11" s="298" t="s">
        <v>651</v>
      </c>
      <c r="P11" s="292" t="s">
        <v>624</v>
      </c>
      <c r="R11" s="155">
        <f t="shared" si="2"/>
        <v>0</v>
      </c>
    </row>
    <row r="12">
      <c r="A12" s="290">
        <v>11.0</v>
      </c>
      <c r="B12" s="290" t="s">
        <v>620</v>
      </c>
      <c r="C12" s="299" t="s">
        <v>631</v>
      </c>
      <c r="D12" s="292" t="s">
        <v>652</v>
      </c>
      <c r="E12" s="292">
        <v>9.0</v>
      </c>
      <c r="F12" s="293">
        <v>700.0</v>
      </c>
      <c r="G12" s="294"/>
      <c r="H12" s="294"/>
      <c r="I12" s="295">
        <f t="shared" si="1"/>
        <v>6300</v>
      </c>
      <c r="J12" s="292">
        <v>8.9046359756E10</v>
      </c>
      <c r="K12" s="294"/>
      <c r="L12" s="296"/>
      <c r="M12" s="287" t="s">
        <v>622</v>
      </c>
      <c r="N12" s="297">
        <v>46042.79305555556</v>
      </c>
      <c r="O12" s="298" t="s">
        <v>653</v>
      </c>
      <c r="P12" s="292" t="s">
        <v>624</v>
      </c>
      <c r="R12" s="155">
        <f t="shared" si="2"/>
        <v>0</v>
      </c>
    </row>
    <row r="13">
      <c r="A13" s="290">
        <v>12.0</v>
      </c>
      <c r="B13" s="290" t="s">
        <v>620</v>
      </c>
      <c r="C13" s="291" t="s">
        <v>625</v>
      </c>
      <c r="D13" s="292" t="s">
        <v>654</v>
      </c>
      <c r="E13" s="292">
        <v>4.0</v>
      </c>
      <c r="F13" s="293">
        <v>700.0</v>
      </c>
      <c r="G13" s="294"/>
      <c r="H13" s="294"/>
      <c r="I13" s="295">
        <f t="shared" si="1"/>
        <v>2800</v>
      </c>
      <c r="J13" s="292">
        <v>8.9500461165E10</v>
      </c>
      <c r="L13" s="292" t="s">
        <v>655</v>
      </c>
      <c r="M13" s="287" t="s">
        <v>622</v>
      </c>
      <c r="N13" s="297">
        <v>46044.54652777778</v>
      </c>
      <c r="O13" s="298" t="s">
        <v>656</v>
      </c>
      <c r="P13" s="292" t="s">
        <v>624</v>
      </c>
      <c r="R13" s="155">
        <f t="shared" si="2"/>
        <v>0</v>
      </c>
    </row>
    <row r="14">
      <c r="A14" s="290">
        <v>13.0</v>
      </c>
      <c r="B14" s="290" t="s">
        <v>620</v>
      </c>
      <c r="C14" s="302" t="s">
        <v>647</v>
      </c>
      <c r="D14" s="300" t="s">
        <v>657</v>
      </c>
      <c r="E14" s="300">
        <v>7.0</v>
      </c>
      <c r="F14" s="304">
        <v>525.0</v>
      </c>
      <c r="G14" s="294"/>
      <c r="H14" s="294"/>
      <c r="I14" s="295">
        <f t="shared" si="1"/>
        <v>3675</v>
      </c>
      <c r="J14" s="292">
        <v>8.9522797292E10</v>
      </c>
      <c r="K14" s="294"/>
      <c r="L14" s="305" t="s">
        <v>658</v>
      </c>
      <c r="M14" s="287" t="s">
        <v>622</v>
      </c>
      <c r="N14" s="306">
        <v>46044.73055555556</v>
      </c>
      <c r="O14" s="307" t="s">
        <v>659</v>
      </c>
      <c r="P14" s="308" t="s">
        <v>624</v>
      </c>
      <c r="R14" s="155">
        <f t="shared" si="2"/>
        <v>0</v>
      </c>
    </row>
    <row r="15">
      <c r="A15" s="290">
        <v>14.0</v>
      </c>
      <c r="B15" s="290" t="s">
        <v>620</v>
      </c>
      <c r="C15" s="299" t="s">
        <v>631</v>
      </c>
      <c r="D15" s="292" t="s">
        <v>660</v>
      </c>
      <c r="E15" s="292">
        <v>2.0</v>
      </c>
      <c r="F15" s="293">
        <v>700.0</v>
      </c>
      <c r="G15" s="294"/>
      <c r="H15" s="294"/>
      <c r="I15" s="295">
        <f t="shared" si="1"/>
        <v>1400</v>
      </c>
      <c r="J15" s="292">
        <f>+79816822803</f>
        <v>79816822803</v>
      </c>
      <c r="K15" s="294"/>
      <c r="L15" s="296"/>
      <c r="M15" s="309" t="s">
        <v>661</v>
      </c>
      <c r="N15" s="297">
        <v>46041.75486111111</v>
      </c>
      <c r="O15" s="298" t="s">
        <v>662</v>
      </c>
      <c r="P15" s="292" t="s">
        <v>624</v>
      </c>
      <c r="R15" s="155">
        <f t="shared" si="2"/>
        <v>0</v>
      </c>
    </row>
    <row r="16">
      <c r="A16" s="290">
        <v>15.0</v>
      </c>
      <c r="B16" s="290" t="s">
        <v>620</v>
      </c>
      <c r="C16" s="291" t="s">
        <v>625</v>
      </c>
      <c r="D16" s="292" t="s">
        <v>663</v>
      </c>
      <c r="E16" s="292">
        <v>3.0</v>
      </c>
      <c r="F16" s="293">
        <v>700.0</v>
      </c>
      <c r="G16" s="294"/>
      <c r="H16" s="294"/>
      <c r="I16" s="295">
        <f t="shared" si="1"/>
        <v>2100</v>
      </c>
      <c r="J16" s="292" t="s">
        <v>664</v>
      </c>
      <c r="K16" s="294"/>
      <c r="L16" s="296"/>
      <c r="M16" s="309" t="s">
        <v>661</v>
      </c>
      <c r="N16" s="297">
        <v>46041.76458333333</v>
      </c>
      <c r="O16" s="298" t="s">
        <v>665</v>
      </c>
      <c r="P16" s="292" t="s">
        <v>624</v>
      </c>
      <c r="R16" s="155">
        <f t="shared" si="2"/>
        <v>0</v>
      </c>
    </row>
    <row r="17">
      <c r="A17" s="290">
        <v>16.0</v>
      </c>
      <c r="B17" s="290" t="s">
        <v>620</v>
      </c>
      <c r="C17" s="291" t="s">
        <v>625</v>
      </c>
      <c r="D17" s="292" t="s">
        <v>666</v>
      </c>
      <c r="E17" s="292">
        <v>4.0</v>
      </c>
      <c r="F17" s="293">
        <v>700.0</v>
      </c>
      <c r="G17" s="294"/>
      <c r="H17" s="294"/>
      <c r="I17" s="295">
        <f t="shared" si="1"/>
        <v>2800</v>
      </c>
      <c r="J17" s="292">
        <v>8.9214452487E10</v>
      </c>
      <c r="L17" s="300" t="s">
        <v>667</v>
      </c>
      <c r="M17" s="309" t="s">
        <v>661</v>
      </c>
      <c r="N17" s="297">
        <v>46041.76597222222</v>
      </c>
      <c r="O17" s="298" t="s">
        <v>668</v>
      </c>
      <c r="P17" s="292" t="s">
        <v>624</v>
      </c>
      <c r="R17" s="155">
        <f t="shared" si="2"/>
        <v>0</v>
      </c>
    </row>
    <row r="18">
      <c r="A18" s="290">
        <v>17.0</v>
      </c>
      <c r="B18" s="290" t="s">
        <v>620</v>
      </c>
      <c r="C18" s="299" t="s">
        <v>631</v>
      </c>
      <c r="D18" s="292" t="s">
        <v>669</v>
      </c>
      <c r="E18" s="292">
        <v>2.0</v>
      </c>
      <c r="F18" s="293">
        <v>700.0</v>
      </c>
      <c r="G18" s="294"/>
      <c r="H18" s="294"/>
      <c r="I18" s="295">
        <f t="shared" si="1"/>
        <v>1400</v>
      </c>
      <c r="J18" s="292">
        <v>8.9098585107E10</v>
      </c>
      <c r="K18" s="294"/>
      <c r="L18" s="296"/>
      <c r="M18" s="309" t="s">
        <v>661</v>
      </c>
      <c r="N18" s="297">
        <v>46041.77777777778</v>
      </c>
      <c r="O18" s="298" t="s">
        <v>670</v>
      </c>
      <c r="P18" s="292" t="s">
        <v>624</v>
      </c>
      <c r="R18" s="155">
        <f t="shared" si="2"/>
        <v>0</v>
      </c>
    </row>
    <row r="19">
      <c r="A19" s="290">
        <v>18.0</v>
      </c>
      <c r="B19" s="263"/>
      <c r="C19" s="263"/>
      <c r="F19" s="264"/>
      <c r="G19" s="294"/>
      <c r="H19" s="294"/>
      <c r="I19" s="310"/>
      <c r="R19" s="155">
        <f t="shared" si="2"/>
        <v>0</v>
      </c>
    </row>
    <row r="20">
      <c r="A20" s="290">
        <v>19.0</v>
      </c>
      <c r="B20" s="263"/>
      <c r="C20" s="263"/>
      <c r="F20" s="264"/>
      <c r="G20" s="294"/>
      <c r="H20" s="294"/>
      <c r="I20" s="310"/>
      <c r="R20" s="155" t="b">
        <f t="shared" ref="R20:R22" si="3">IF(M20=$Q$1,IF(B20="Оплачено",E20),0)</f>
        <v>0</v>
      </c>
    </row>
    <row r="21">
      <c r="A21" s="290">
        <v>20.0</v>
      </c>
      <c r="B21" s="263"/>
      <c r="C21" s="263"/>
      <c r="F21" s="264"/>
      <c r="G21" s="294"/>
      <c r="H21" s="294"/>
      <c r="I21" s="310"/>
      <c r="R21" s="155" t="b">
        <f t="shared" si="3"/>
        <v>0</v>
      </c>
    </row>
    <row r="22">
      <c r="A22" s="290">
        <v>21.0</v>
      </c>
      <c r="B22" s="263"/>
      <c r="C22" s="263"/>
      <c r="F22" s="264"/>
      <c r="G22" s="294"/>
      <c r="H22" s="294"/>
      <c r="I22" s="310"/>
      <c r="R22" s="155" t="b">
        <f t="shared" si="3"/>
        <v>0</v>
      </c>
    </row>
    <row r="23">
      <c r="A23" s="290">
        <v>22.0</v>
      </c>
      <c r="B23" s="263"/>
      <c r="C23" s="263"/>
      <c r="F23" s="264"/>
      <c r="G23" s="294"/>
      <c r="H23" s="294"/>
      <c r="I23" s="310"/>
    </row>
    <row r="24">
      <c r="A24" s="290">
        <v>23.0</v>
      </c>
      <c r="B24" s="263"/>
      <c r="C24" s="263"/>
      <c r="F24" s="264"/>
      <c r="G24" s="294"/>
      <c r="H24" s="294"/>
      <c r="I24" s="310"/>
    </row>
    <row r="25">
      <c r="A25" s="290">
        <v>24.0</v>
      </c>
      <c r="B25" s="263"/>
      <c r="C25" s="263"/>
      <c r="F25" s="264"/>
      <c r="G25" s="294"/>
      <c r="H25" s="294"/>
      <c r="I25" s="310"/>
    </row>
    <row r="26">
      <c r="A26" s="290">
        <v>25.0</v>
      </c>
      <c r="B26" s="263"/>
      <c r="C26" s="263"/>
      <c r="F26" s="264"/>
      <c r="G26" s="294"/>
      <c r="H26" s="294"/>
      <c r="I26" s="310"/>
    </row>
    <row r="27">
      <c r="A27" s="290">
        <v>26.0</v>
      </c>
      <c r="B27" s="263"/>
      <c r="C27" s="263"/>
      <c r="F27" s="264"/>
      <c r="G27" s="294"/>
      <c r="H27" s="294"/>
      <c r="I27" s="310"/>
    </row>
    <row r="28">
      <c r="A28" s="290">
        <v>27.0</v>
      </c>
      <c r="B28" s="263"/>
      <c r="C28" s="263"/>
      <c r="F28" s="264"/>
      <c r="G28" s="294"/>
      <c r="H28" s="294"/>
      <c r="I28" s="310"/>
    </row>
    <row r="29">
      <c r="A29" s="290">
        <v>28.0</v>
      </c>
      <c r="B29" s="263"/>
      <c r="C29" s="263"/>
      <c r="F29" s="264"/>
      <c r="G29" s="294"/>
      <c r="H29" s="294"/>
      <c r="I29" s="310"/>
    </row>
    <row r="30">
      <c r="A30" s="263"/>
      <c r="B30" s="263"/>
      <c r="C30" s="263"/>
      <c r="F30" s="264"/>
      <c r="G30" s="294"/>
      <c r="H30" s="294"/>
      <c r="I30" s="310"/>
    </row>
    <row r="31">
      <c r="A31" s="263"/>
      <c r="B31" s="263"/>
      <c r="C31" s="263"/>
      <c r="F31" s="264"/>
      <c r="G31" s="294"/>
      <c r="H31" s="294"/>
      <c r="I31" s="310"/>
    </row>
    <row r="32">
      <c r="A32" s="263"/>
      <c r="B32" s="263"/>
      <c r="C32" s="263"/>
      <c r="F32" s="264"/>
      <c r="G32" s="294"/>
      <c r="H32" s="294"/>
      <c r="I32" s="310"/>
    </row>
    <row r="33">
      <c r="A33" s="263"/>
      <c r="B33" s="263"/>
      <c r="C33" s="263"/>
      <c r="F33" s="264"/>
      <c r="G33" s="294"/>
      <c r="H33" s="294"/>
      <c r="I33" s="310"/>
    </row>
    <row r="34">
      <c r="A34" s="263"/>
      <c r="B34" s="263"/>
      <c r="C34" s="263"/>
      <c r="F34" s="264"/>
      <c r="G34" s="294"/>
      <c r="H34" s="294"/>
      <c r="I34" s="310"/>
    </row>
    <row r="35">
      <c r="A35" s="263"/>
      <c r="B35" s="263"/>
      <c r="C35" s="263"/>
      <c r="F35" s="264"/>
      <c r="G35" s="294"/>
      <c r="H35" s="294"/>
      <c r="I35" s="310"/>
    </row>
    <row r="36">
      <c r="A36" s="263"/>
      <c r="B36" s="263"/>
      <c r="C36" s="263"/>
      <c r="F36" s="264"/>
      <c r="G36" s="294"/>
      <c r="H36" s="294"/>
      <c r="I36" s="310"/>
    </row>
    <row r="37">
      <c r="A37" s="263"/>
      <c r="B37" s="263"/>
      <c r="C37" s="263"/>
      <c r="F37" s="264"/>
      <c r="G37" s="294"/>
      <c r="H37" s="294"/>
      <c r="I37" s="310"/>
    </row>
    <row r="38">
      <c r="A38" s="263"/>
      <c r="B38" s="263"/>
      <c r="C38" s="263"/>
      <c r="F38" s="264"/>
      <c r="G38" s="294"/>
      <c r="H38" s="294"/>
      <c r="I38" s="310"/>
    </row>
    <row r="39">
      <c r="A39" s="263"/>
      <c r="B39" s="263"/>
      <c r="C39" s="263"/>
      <c r="F39" s="264"/>
      <c r="G39" s="294"/>
      <c r="H39" s="294"/>
      <c r="I39" s="310"/>
    </row>
    <row r="40">
      <c r="A40" s="263"/>
      <c r="B40" s="263"/>
      <c r="C40" s="263"/>
      <c r="F40" s="264"/>
      <c r="G40" s="294"/>
      <c r="H40" s="294"/>
      <c r="I40" s="310"/>
    </row>
    <row r="41">
      <c r="A41" s="263"/>
      <c r="B41" s="263"/>
      <c r="C41" s="263"/>
      <c r="F41" s="264"/>
      <c r="G41" s="294"/>
      <c r="H41" s="294"/>
      <c r="I41" s="310"/>
    </row>
    <row r="42">
      <c r="A42" s="263"/>
      <c r="B42" s="263"/>
      <c r="C42" s="263"/>
      <c r="F42" s="264"/>
      <c r="G42" s="294"/>
      <c r="H42" s="294"/>
      <c r="I42" s="310"/>
    </row>
    <row r="43">
      <c r="A43" s="263"/>
      <c r="B43" s="263"/>
      <c r="C43" s="263"/>
      <c r="F43" s="264"/>
      <c r="G43" s="294"/>
      <c r="H43" s="294"/>
      <c r="I43" s="310"/>
    </row>
    <row r="44">
      <c r="A44" s="263"/>
      <c r="B44" s="263"/>
      <c r="C44" s="263"/>
      <c r="F44" s="264"/>
      <c r="G44" s="294"/>
      <c r="H44" s="294"/>
      <c r="I44" s="310"/>
    </row>
    <row r="45">
      <c r="A45" s="263"/>
      <c r="B45" s="263"/>
      <c r="C45" s="263"/>
      <c r="F45" s="264"/>
      <c r="G45" s="294"/>
      <c r="H45" s="294"/>
      <c r="I45" s="310"/>
    </row>
    <row r="46">
      <c r="A46" s="263"/>
      <c r="B46" s="263"/>
      <c r="C46" s="263"/>
      <c r="F46" s="264"/>
      <c r="G46" s="294"/>
      <c r="H46" s="294"/>
      <c r="I46" s="310"/>
    </row>
    <row r="47">
      <c r="A47" s="263"/>
      <c r="B47" s="263"/>
      <c r="C47" s="263"/>
      <c r="F47" s="264"/>
      <c r="G47" s="294"/>
      <c r="H47" s="294"/>
      <c r="I47" s="310"/>
    </row>
    <row r="48">
      <c r="A48" s="263"/>
      <c r="B48" s="263"/>
      <c r="C48" s="263"/>
      <c r="F48" s="264"/>
      <c r="G48" s="294"/>
      <c r="H48" s="294"/>
      <c r="I48" s="310"/>
    </row>
    <row r="49">
      <c r="A49" s="263"/>
      <c r="B49" s="263"/>
      <c r="C49" s="263"/>
      <c r="F49" s="264"/>
      <c r="G49" s="294"/>
      <c r="H49" s="294"/>
      <c r="I49" s="310"/>
    </row>
    <row r="50">
      <c r="A50" s="263"/>
      <c r="B50" s="263"/>
      <c r="C50" s="263"/>
      <c r="F50" s="264"/>
      <c r="G50" s="294"/>
      <c r="H50" s="294"/>
      <c r="I50" s="310"/>
    </row>
    <row r="51">
      <c r="A51" s="263"/>
      <c r="B51" s="263"/>
      <c r="C51" s="263"/>
      <c r="F51" s="264"/>
      <c r="G51" s="294"/>
      <c r="H51" s="294"/>
      <c r="I51" s="310"/>
    </row>
    <row r="52">
      <c r="A52" s="263"/>
      <c r="B52" s="263"/>
      <c r="C52" s="263"/>
      <c r="F52" s="264"/>
      <c r="G52" s="294"/>
      <c r="H52" s="294"/>
      <c r="I52" s="310"/>
    </row>
    <row r="53">
      <c r="A53" s="263"/>
      <c r="B53" s="263"/>
      <c r="C53" s="263"/>
      <c r="F53" s="264"/>
      <c r="G53" s="294"/>
      <c r="H53" s="294"/>
      <c r="I53" s="310"/>
    </row>
    <row r="54">
      <c r="A54" s="263"/>
      <c r="B54" s="263"/>
      <c r="C54" s="263"/>
      <c r="F54" s="264"/>
      <c r="G54" s="294"/>
      <c r="H54" s="294"/>
      <c r="I54" s="310"/>
    </row>
    <row r="55">
      <c r="A55" s="263"/>
      <c r="B55" s="263"/>
      <c r="C55" s="263"/>
      <c r="F55" s="264"/>
      <c r="G55" s="294"/>
      <c r="H55" s="294"/>
      <c r="I55" s="310"/>
    </row>
    <row r="56">
      <c r="A56" s="263"/>
      <c r="B56" s="263"/>
      <c r="C56" s="263"/>
      <c r="F56" s="264"/>
      <c r="G56" s="294"/>
      <c r="H56" s="294"/>
      <c r="I56" s="310"/>
    </row>
    <row r="57">
      <c r="A57" s="263"/>
      <c r="B57" s="263"/>
      <c r="C57" s="263"/>
      <c r="F57" s="264"/>
      <c r="G57" s="294"/>
      <c r="H57" s="294"/>
      <c r="I57" s="310"/>
    </row>
    <row r="58">
      <c r="A58" s="263"/>
      <c r="B58" s="263"/>
      <c r="C58" s="263"/>
      <c r="F58" s="264"/>
      <c r="G58" s="294"/>
      <c r="H58" s="294"/>
      <c r="I58" s="310"/>
    </row>
    <row r="59">
      <c r="A59" s="263"/>
      <c r="B59" s="263"/>
      <c r="C59" s="263"/>
      <c r="F59" s="264"/>
      <c r="G59" s="294"/>
      <c r="H59" s="294"/>
      <c r="I59" s="310"/>
    </row>
    <row r="60">
      <c r="A60" s="263"/>
      <c r="B60" s="263"/>
      <c r="C60" s="263"/>
      <c r="F60" s="264"/>
      <c r="G60" s="294"/>
      <c r="H60" s="294"/>
      <c r="I60" s="310"/>
    </row>
    <row r="61">
      <c r="A61" s="263"/>
      <c r="B61" s="263"/>
      <c r="C61" s="263"/>
      <c r="F61" s="264"/>
      <c r="G61" s="294"/>
      <c r="H61" s="294"/>
      <c r="I61" s="310"/>
    </row>
    <row r="62">
      <c r="A62" s="263"/>
      <c r="B62" s="263"/>
      <c r="C62" s="263"/>
      <c r="F62" s="264"/>
      <c r="G62" s="294"/>
      <c r="H62" s="294"/>
      <c r="I62" s="310"/>
    </row>
    <row r="63">
      <c r="A63" s="263"/>
      <c r="B63" s="263"/>
      <c r="C63" s="263"/>
      <c r="F63" s="264"/>
      <c r="G63" s="294"/>
      <c r="H63" s="294"/>
      <c r="I63" s="310"/>
    </row>
    <row r="64">
      <c r="A64" s="263"/>
      <c r="B64" s="263"/>
      <c r="C64" s="263"/>
      <c r="F64" s="264"/>
      <c r="G64" s="294"/>
      <c r="H64" s="294"/>
      <c r="I64" s="310"/>
    </row>
    <row r="65">
      <c r="A65" s="263"/>
      <c r="B65" s="263"/>
      <c r="C65" s="263"/>
      <c r="F65" s="264"/>
      <c r="G65" s="294"/>
      <c r="H65" s="294"/>
      <c r="I65" s="310"/>
    </row>
    <row r="66">
      <c r="A66" s="263"/>
      <c r="B66" s="263"/>
      <c r="C66" s="263"/>
      <c r="F66" s="264"/>
      <c r="G66" s="294"/>
      <c r="H66" s="294"/>
      <c r="I66" s="310"/>
    </row>
    <row r="67">
      <c r="A67" s="263"/>
      <c r="B67" s="263"/>
      <c r="C67" s="263"/>
      <c r="F67" s="264"/>
      <c r="G67" s="294"/>
      <c r="H67" s="294"/>
      <c r="I67" s="310"/>
    </row>
    <row r="68">
      <c r="A68" s="263"/>
      <c r="B68" s="263"/>
      <c r="C68" s="263"/>
      <c r="F68" s="264"/>
      <c r="G68" s="294"/>
      <c r="H68" s="294"/>
      <c r="I68" s="310"/>
    </row>
    <row r="69">
      <c r="A69" s="263"/>
      <c r="B69" s="263"/>
      <c r="C69" s="263"/>
      <c r="F69" s="264"/>
      <c r="G69" s="294"/>
      <c r="H69" s="294"/>
      <c r="I69" s="310"/>
    </row>
    <row r="70">
      <c r="A70" s="263"/>
      <c r="B70" s="263"/>
      <c r="C70" s="263"/>
      <c r="F70" s="264"/>
      <c r="G70" s="294"/>
      <c r="H70" s="294"/>
      <c r="I70" s="310"/>
    </row>
    <row r="71">
      <c r="A71" s="263"/>
      <c r="B71" s="263"/>
      <c r="C71" s="263"/>
      <c r="F71" s="264"/>
      <c r="G71" s="294"/>
      <c r="H71" s="294"/>
      <c r="I71" s="310"/>
    </row>
    <row r="72">
      <c r="A72" s="263"/>
      <c r="B72" s="263"/>
      <c r="C72" s="263"/>
      <c r="F72" s="264"/>
      <c r="G72" s="294"/>
      <c r="H72" s="294"/>
      <c r="I72" s="310"/>
    </row>
    <row r="73">
      <c r="A73" s="263"/>
      <c r="B73" s="263"/>
      <c r="C73" s="263"/>
      <c r="F73" s="264"/>
      <c r="G73" s="294"/>
      <c r="H73" s="294"/>
      <c r="I73" s="310"/>
    </row>
    <row r="74">
      <c r="A74" s="263"/>
      <c r="B74" s="263"/>
      <c r="C74" s="263"/>
      <c r="F74" s="264"/>
      <c r="G74" s="294"/>
      <c r="H74" s="294"/>
      <c r="I74" s="310"/>
    </row>
    <row r="75">
      <c r="A75" s="263"/>
      <c r="B75" s="263"/>
      <c r="C75" s="263"/>
      <c r="F75" s="264"/>
      <c r="G75" s="294"/>
      <c r="H75" s="294"/>
      <c r="I75" s="310"/>
    </row>
    <row r="76">
      <c r="A76" s="263"/>
      <c r="B76" s="263"/>
      <c r="C76" s="263"/>
      <c r="F76" s="264"/>
      <c r="G76" s="294"/>
      <c r="H76" s="294"/>
      <c r="I76" s="310"/>
    </row>
    <row r="77">
      <c r="A77" s="263"/>
      <c r="B77" s="263"/>
      <c r="C77" s="263"/>
      <c r="F77" s="264"/>
      <c r="G77" s="294"/>
      <c r="H77" s="294"/>
      <c r="I77" s="310"/>
    </row>
    <row r="78">
      <c r="A78" s="263"/>
      <c r="B78" s="263"/>
      <c r="C78" s="263"/>
      <c r="F78" s="264"/>
      <c r="G78" s="294"/>
      <c r="H78" s="294"/>
      <c r="I78" s="310"/>
    </row>
    <row r="79">
      <c r="A79" s="263"/>
      <c r="B79" s="263"/>
      <c r="C79" s="263"/>
      <c r="F79" s="264"/>
      <c r="G79" s="294"/>
      <c r="H79" s="294"/>
      <c r="I79" s="310"/>
    </row>
    <row r="80">
      <c r="A80" s="263"/>
      <c r="B80" s="263"/>
      <c r="C80" s="263"/>
      <c r="F80" s="264"/>
      <c r="G80" s="294"/>
      <c r="H80" s="294"/>
      <c r="I80" s="310"/>
    </row>
    <row r="81">
      <c r="A81" s="263"/>
      <c r="B81" s="263"/>
      <c r="C81" s="263"/>
      <c r="F81" s="264"/>
      <c r="G81" s="294"/>
      <c r="H81" s="294"/>
      <c r="I81" s="310"/>
    </row>
    <row r="82">
      <c r="A82" s="263"/>
      <c r="B82" s="263"/>
      <c r="C82" s="263"/>
      <c r="F82" s="264"/>
      <c r="G82" s="294"/>
      <c r="H82" s="294"/>
      <c r="I82" s="310"/>
    </row>
    <row r="83">
      <c r="A83" s="263"/>
      <c r="B83" s="263"/>
      <c r="C83" s="263"/>
      <c r="F83" s="264"/>
      <c r="G83" s="294"/>
      <c r="H83" s="294"/>
      <c r="I83" s="310"/>
    </row>
    <row r="84">
      <c r="A84" s="263"/>
      <c r="B84" s="263"/>
      <c r="C84" s="263"/>
      <c r="F84" s="264"/>
      <c r="G84" s="294"/>
      <c r="H84" s="294"/>
      <c r="I84" s="310"/>
    </row>
    <row r="85">
      <c r="A85" s="263"/>
      <c r="B85" s="263"/>
      <c r="C85" s="263"/>
      <c r="F85" s="264"/>
      <c r="G85" s="294"/>
      <c r="H85" s="294"/>
      <c r="I85" s="310"/>
    </row>
    <row r="86">
      <c r="A86" s="263"/>
      <c r="B86" s="263"/>
      <c r="C86" s="263"/>
      <c r="F86" s="264"/>
      <c r="G86" s="294"/>
      <c r="H86" s="294"/>
      <c r="I86" s="310"/>
    </row>
    <row r="87">
      <c r="A87" s="263"/>
      <c r="B87" s="263"/>
      <c r="C87" s="263"/>
      <c r="F87" s="264"/>
      <c r="G87" s="294"/>
      <c r="H87" s="294"/>
      <c r="I87" s="310"/>
    </row>
    <row r="88">
      <c r="A88" s="263"/>
      <c r="B88" s="263"/>
      <c r="C88" s="263"/>
      <c r="F88" s="264"/>
      <c r="G88" s="294"/>
      <c r="H88" s="294"/>
      <c r="I88" s="310"/>
    </row>
    <row r="89">
      <c r="A89" s="263"/>
      <c r="B89" s="263"/>
      <c r="C89" s="263"/>
      <c r="F89" s="264"/>
      <c r="G89" s="294"/>
      <c r="H89" s="294"/>
      <c r="I89" s="310"/>
    </row>
    <row r="90">
      <c r="A90" s="263"/>
      <c r="B90" s="263"/>
      <c r="C90" s="263"/>
      <c r="F90" s="264"/>
      <c r="G90" s="294"/>
      <c r="H90" s="294"/>
      <c r="I90" s="310"/>
    </row>
    <row r="91">
      <c r="A91" s="263"/>
      <c r="B91" s="263"/>
      <c r="C91" s="263"/>
      <c r="F91" s="264"/>
      <c r="G91" s="294"/>
      <c r="H91" s="294"/>
      <c r="I91" s="310"/>
    </row>
    <row r="92">
      <c r="A92" s="263"/>
      <c r="B92" s="263"/>
      <c r="C92" s="263"/>
      <c r="F92" s="264"/>
      <c r="G92" s="294"/>
      <c r="H92" s="294"/>
      <c r="I92" s="310"/>
    </row>
    <row r="93">
      <c r="A93" s="263"/>
      <c r="B93" s="263"/>
      <c r="C93" s="263"/>
      <c r="F93" s="264"/>
      <c r="G93" s="294"/>
      <c r="H93" s="294"/>
      <c r="I93" s="310"/>
    </row>
    <row r="94">
      <c r="A94" s="263"/>
      <c r="B94" s="263"/>
      <c r="C94" s="263"/>
      <c r="F94" s="264"/>
      <c r="G94" s="294"/>
      <c r="H94" s="294"/>
      <c r="I94" s="310"/>
    </row>
    <row r="95">
      <c r="A95" s="263"/>
      <c r="B95" s="263"/>
      <c r="C95" s="263"/>
      <c r="F95" s="264"/>
      <c r="G95" s="294"/>
      <c r="H95" s="294"/>
      <c r="I95" s="310"/>
    </row>
    <row r="96">
      <c r="A96" s="263"/>
      <c r="B96" s="263"/>
      <c r="C96" s="263"/>
      <c r="F96" s="264"/>
      <c r="G96" s="294"/>
      <c r="H96" s="294"/>
      <c r="I96" s="310"/>
    </row>
    <row r="97">
      <c r="A97" s="263"/>
      <c r="B97" s="263"/>
      <c r="C97" s="263"/>
      <c r="F97" s="264"/>
      <c r="G97" s="294"/>
      <c r="H97" s="294"/>
      <c r="I97" s="310"/>
    </row>
    <row r="98">
      <c r="A98" s="263"/>
      <c r="B98" s="263"/>
      <c r="C98" s="263"/>
      <c r="F98" s="264"/>
      <c r="G98" s="294"/>
      <c r="H98" s="294"/>
      <c r="I98" s="310"/>
    </row>
    <row r="99">
      <c r="A99" s="263"/>
      <c r="B99" s="263"/>
      <c r="C99" s="263"/>
      <c r="F99" s="264"/>
      <c r="G99" s="294"/>
      <c r="H99" s="294"/>
      <c r="I99" s="310"/>
    </row>
    <row r="100">
      <c r="A100" s="263"/>
      <c r="B100" s="263"/>
      <c r="C100" s="263"/>
      <c r="F100" s="264"/>
      <c r="G100" s="294"/>
      <c r="H100" s="294"/>
      <c r="I100" s="310"/>
    </row>
    <row r="101">
      <c r="A101" s="263"/>
      <c r="B101" s="263"/>
      <c r="C101" s="263"/>
      <c r="F101" s="264"/>
      <c r="G101" s="294"/>
      <c r="H101" s="294"/>
      <c r="I101" s="310"/>
    </row>
    <row r="102">
      <c r="A102" s="263"/>
      <c r="B102" s="263"/>
      <c r="C102" s="263"/>
      <c r="F102" s="264"/>
      <c r="G102" s="294"/>
      <c r="H102" s="294"/>
      <c r="I102" s="310"/>
    </row>
    <row r="103">
      <c r="A103" s="263"/>
      <c r="B103" s="263"/>
      <c r="C103" s="263"/>
      <c r="F103" s="264"/>
      <c r="G103" s="294"/>
      <c r="H103" s="294"/>
      <c r="I103" s="310"/>
    </row>
    <row r="104">
      <c r="A104" s="263"/>
      <c r="B104" s="263"/>
      <c r="C104" s="263"/>
      <c r="F104" s="264"/>
      <c r="G104" s="294"/>
      <c r="H104" s="294"/>
      <c r="I104" s="310"/>
    </row>
    <row r="105">
      <c r="A105" s="263"/>
      <c r="B105" s="263"/>
      <c r="C105" s="263"/>
      <c r="F105" s="264"/>
      <c r="G105" s="294"/>
      <c r="H105" s="294"/>
      <c r="I105" s="310"/>
    </row>
    <row r="106">
      <c r="A106" s="263"/>
      <c r="B106" s="263"/>
      <c r="C106" s="263"/>
      <c r="F106" s="264"/>
      <c r="G106" s="294"/>
      <c r="H106" s="294"/>
      <c r="I106" s="310"/>
    </row>
    <row r="107">
      <c r="A107" s="263"/>
      <c r="B107" s="263"/>
      <c r="C107" s="263"/>
      <c r="F107" s="264"/>
      <c r="G107" s="294"/>
      <c r="H107" s="294"/>
      <c r="I107" s="310"/>
    </row>
    <row r="108">
      <c r="A108" s="263"/>
      <c r="B108" s="263"/>
      <c r="C108" s="263"/>
      <c r="F108" s="264"/>
      <c r="G108" s="294"/>
      <c r="H108" s="294"/>
      <c r="I108" s="310"/>
    </row>
    <row r="109">
      <c r="A109" s="263"/>
      <c r="B109" s="263"/>
      <c r="C109" s="263"/>
      <c r="F109" s="264"/>
      <c r="G109" s="294"/>
      <c r="H109" s="294"/>
      <c r="I109" s="310"/>
    </row>
    <row r="110">
      <c r="A110" s="263"/>
      <c r="B110" s="263"/>
      <c r="C110" s="263"/>
      <c r="F110" s="264"/>
      <c r="G110" s="294"/>
      <c r="H110" s="294"/>
      <c r="I110" s="310"/>
    </row>
    <row r="111">
      <c r="A111" s="263"/>
      <c r="B111" s="263"/>
      <c r="C111" s="263"/>
      <c r="F111" s="264"/>
      <c r="G111" s="294"/>
      <c r="H111" s="294"/>
      <c r="I111" s="310"/>
    </row>
    <row r="112">
      <c r="A112" s="263"/>
      <c r="B112" s="263"/>
      <c r="C112" s="263"/>
      <c r="F112" s="264"/>
      <c r="G112" s="294"/>
      <c r="H112" s="294"/>
      <c r="I112" s="310"/>
    </row>
    <row r="113">
      <c r="A113" s="263"/>
      <c r="B113" s="263"/>
      <c r="C113" s="263"/>
      <c r="F113" s="264"/>
      <c r="G113" s="294"/>
      <c r="H113" s="294"/>
      <c r="I113" s="310"/>
    </row>
    <row r="114">
      <c r="A114" s="263"/>
      <c r="B114" s="263"/>
      <c r="C114" s="263"/>
      <c r="F114" s="264"/>
      <c r="G114" s="294"/>
      <c r="H114" s="294"/>
      <c r="I114" s="310"/>
    </row>
    <row r="115">
      <c r="A115" s="263"/>
      <c r="B115" s="263"/>
      <c r="C115" s="263"/>
      <c r="F115" s="264"/>
      <c r="G115" s="294"/>
      <c r="H115" s="294"/>
      <c r="I115" s="310"/>
    </row>
    <row r="116">
      <c r="A116" s="263"/>
      <c r="B116" s="263"/>
      <c r="C116" s="263"/>
      <c r="F116" s="264"/>
      <c r="G116" s="294"/>
      <c r="H116" s="294"/>
      <c r="I116" s="310"/>
    </row>
    <row r="117">
      <c r="A117" s="263"/>
      <c r="B117" s="263"/>
      <c r="C117" s="263"/>
      <c r="F117" s="264"/>
      <c r="G117" s="294"/>
      <c r="H117" s="294"/>
      <c r="I117" s="310"/>
    </row>
    <row r="118">
      <c r="A118" s="263"/>
      <c r="B118" s="263"/>
      <c r="C118" s="263"/>
      <c r="F118" s="264"/>
      <c r="G118" s="294"/>
      <c r="H118" s="294"/>
      <c r="I118" s="310"/>
    </row>
    <row r="119">
      <c r="A119" s="263"/>
      <c r="B119" s="263"/>
      <c r="C119" s="263"/>
      <c r="F119" s="264"/>
      <c r="G119" s="294"/>
      <c r="H119" s="294"/>
      <c r="I119" s="310"/>
    </row>
    <row r="120">
      <c r="A120" s="263"/>
      <c r="B120" s="263"/>
      <c r="C120" s="263"/>
      <c r="F120" s="264"/>
      <c r="G120" s="294"/>
      <c r="H120" s="294"/>
      <c r="I120" s="310"/>
    </row>
    <row r="121">
      <c r="A121" s="263"/>
      <c r="B121" s="263"/>
      <c r="C121" s="263"/>
      <c r="F121" s="264"/>
      <c r="G121" s="294"/>
      <c r="H121" s="294"/>
      <c r="I121" s="310"/>
    </row>
    <row r="122">
      <c r="A122" s="263"/>
      <c r="B122" s="263"/>
      <c r="C122" s="263"/>
      <c r="F122" s="264"/>
      <c r="G122" s="294"/>
      <c r="H122" s="294"/>
      <c r="I122" s="310"/>
    </row>
    <row r="123">
      <c r="A123" s="263"/>
      <c r="B123" s="263"/>
      <c r="C123" s="263"/>
      <c r="F123" s="264"/>
      <c r="G123" s="294"/>
      <c r="H123" s="294"/>
      <c r="I123" s="310"/>
    </row>
    <row r="124">
      <c r="A124" s="263"/>
      <c r="B124" s="263"/>
      <c r="C124" s="263"/>
      <c r="F124" s="264"/>
      <c r="G124" s="294"/>
      <c r="H124" s="294"/>
      <c r="I124" s="310"/>
    </row>
    <row r="125">
      <c r="A125" s="263"/>
      <c r="B125" s="263"/>
      <c r="C125" s="263"/>
      <c r="F125" s="264"/>
      <c r="G125" s="294"/>
      <c r="H125" s="294"/>
      <c r="I125" s="310"/>
    </row>
    <row r="126">
      <c r="A126" s="263"/>
      <c r="B126" s="263"/>
      <c r="C126" s="263"/>
      <c r="F126" s="264"/>
      <c r="G126" s="294"/>
      <c r="H126" s="294"/>
      <c r="I126" s="310"/>
    </row>
    <row r="127">
      <c r="A127" s="263"/>
      <c r="B127" s="263"/>
      <c r="C127" s="263"/>
      <c r="F127" s="264"/>
      <c r="G127" s="294"/>
      <c r="H127" s="294"/>
      <c r="I127" s="310"/>
    </row>
    <row r="128">
      <c r="A128" s="263"/>
      <c r="B128" s="263"/>
      <c r="C128" s="263"/>
      <c r="F128" s="264"/>
      <c r="G128" s="294"/>
      <c r="H128" s="294"/>
      <c r="I128" s="310"/>
    </row>
    <row r="129">
      <c r="A129" s="263"/>
      <c r="B129" s="263"/>
      <c r="C129" s="263"/>
      <c r="F129" s="264"/>
      <c r="G129" s="294"/>
      <c r="H129" s="294"/>
      <c r="I129" s="310"/>
    </row>
    <row r="130">
      <c r="A130" s="263"/>
      <c r="B130" s="263"/>
      <c r="C130" s="263"/>
      <c r="F130" s="264"/>
      <c r="G130" s="294"/>
      <c r="H130" s="294"/>
      <c r="I130" s="310"/>
    </row>
    <row r="131">
      <c r="A131" s="263"/>
      <c r="B131" s="263"/>
      <c r="C131" s="263"/>
      <c r="F131" s="264"/>
      <c r="G131" s="294"/>
      <c r="H131" s="294"/>
      <c r="I131" s="310"/>
    </row>
    <row r="132">
      <c r="A132" s="263"/>
      <c r="B132" s="263"/>
      <c r="C132" s="263"/>
      <c r="F132" s="264"/>
      <c r="G132" s="294"/>
      <c r="H132" s="294"/>
      <c r="I132" s="310"/>
    </row>
    <row r="133">
      <c r="A133" s="263"/>
      <c r="B133" s="263"/>
      <c r="C133" s="263"/>
      <c r="F133" s="264"/>
      <c r="G133" s="294"/>
      <c r="H133" s="294"/>
      <c r="I133" s="310"/>
    </row>
    <row r="134">
      <c r="A134" s="263"/>
      <c r="B134" s="263"/>
      <c r="C134" s="263"/>
      <c r="F134" s="264"/>
      <c r="G134" s="294"/>
      <c r="H134" s="294"/>
      <c r="I134" s="310"/>
    </row>
    <row r="135">
      <c r="A135" s="263"/>
      <c r="B135" s="263"/>
      <c r="C135" s="263"/>
      <c r="F135" s="264"/>
      <c r="G135" s="294"/>
      <c r="H135" s="294"/>
      <c r="I135" s="310"/>
    </row>
    <row r="136">
      <c r="A136" s="263"/>
      <c r="B136" s="263"/>
      <c r="C136" s="263"/>
      <c r="F136" s="264"/>
      <c r="G136" s="294"/>
      <c r="H136" s="294"/>
      <c r="I136" s="310"/>
    </row>
    <row r="137">
      <c r="A137" s="263"/>
      <c r="B137" s="263"/>
      <c r="C137" s="263"/>
      <c r="F137" s="264"/>
      <c r="G137" s="294"/>
      <c r="H137" s="294"/>
      <c r="I137" s="310"/>
    </row>
    <row r="138">
      <c r="A138" s="263"/>
      <c r="B138" s="263"/>
      <c r="C138" s="263"/>
      <c r="F138" s="264"/>
      <c r="G138" s="294"/>
      <c r="H138" s="294"/>
      <c r="I138" s="310"/>
    </row>
    <row r="139">
      <c r="A139" s="263"/>
      <c r="B139" s="263"/>
      <c r="C139" s="263"/>
      <c r="F139" s="264"/>
      <c r="G139" s="294"/>
      <c r="H139" s="294"/>
      <c r="I139" s="310"/>
    </row>
    <row r="140">
      <c r="A140" s="263"/>
      <c r="B140" s="263"/>
      <c r="C140" s="263"/>
      <c r="F140" s="264"/>
      <c r="G140" s="294"/>
      <c r="H140" s="294"/>
      <c r="I140" s="310"/>
    </row>
    <row r="141">
      <c r="A141" s="263"/>
      <c r="B141" s="263"/>
      <c r="C141" s="263"/>
      <c r="F141" s="264"/>
      <c r="G141" s="294"/>
      <c r="H141" s="294"/>
      <c r="I141" s="310"/>
    </row>
    <row r="142">
      <c r="A142" s="263"/>
      <c r="B142" s="263"/>
      <c r="C142" s="263"/>
      <c r="F142" s="264"/>
      <c r="G142" s="294"/>
      <c r="H142" s="294"/>
      <c r="I142" s="310"/>
    </row>
    <row r="143">
      <c r="A143" s="263"/>
      <c r="B143" s="263"/>
      <c r="C143" s="263"/>
      <c r="F143" s="264"/>
      <c r="G143" s="294"/>
      <c r="H143" s="294"/>
      <c r="I143" s="310"/>
    </row>
    <row r="144">
      <c r="A144" s="263"/>
      <c r="B144" s="263"/>
      <c r="C144" s="263"/>
      <c r="F144" s="264"/>
      <c r="G144" s="294"/>
      <c r="H144" s="294"/>
      <c r="I144" s="310"/>
    </row>
    <row r="145">
      <c r="A145" s="263"/>
      <c r="B145" s="263"/>
      <c r="C145" s="263"/>
      <c r="F145" s="264"/>
      <c r="G145" s="294"/>
      <c r="H145" s="294"/>
      <c r="I145" s="310"/>
    </row>
    <row r="146">
      <c r="A146" s="263"/>
      <c r="B146" s="263"/>
      <c r="C146" s="263"/>
      <c r="F146" s="264"/>
      <c r="G146" s="294"/>
      <c r="H146" s="294"/>
      <c r="I146" s="310"/>
    </row>
    <row r="147">
      <c r="A147" s="263"/>
      <c r="B147" s="263"/>
      <c r="C147" s="263"/>
      <c r="F147" s="264"/>
      <c r="G147" s="294"/>
      <c r="H147" s="294"/>
      <c r="I147" s="310"/>
    </row>
    <row r="148">
      <c r="A148" s="263"/>
      <c r="B148" s="263"/>
      <c r="C148" s="263"/>
      <c r="F148" s="264"/>
      <c r="G148" s="294"/>
      <c r="H148" s="294"/>
      <c r="I148" s="310"/>
    </row>
    <row r="149">
      <c r="A149" s="263"/>
      <c r="B149" s="263"/>
      <c r="C149" s="263"/>
      <c r="F149" s="264"/>
      <c r="G149" s="294"/>
      <c r="H149" s="294"/>
      <c r="I149" s="310"/>
    </row>
    <row r="150">
      <c r="A150" s="263"/>
      <c r="B150" s="263"/>
      <c r="C150" s="263"/>
      <c r="F150" s="264"/>
      <c r="G150" s="294"/>
      <c r="H150" s="294"/>
      <c r="I150" s="310"/>
    </row>
    <row r="151">
      <c r="A151" s="263"/>
      <c r="B151" s="263"/>
      <c r="C151" s="263"/>
      <c r="F151" s="264"/>
      <c r="G151" s="294"/>
      <c r="H151" s="294"/>
      <c r="I151" s="310"/>
    </row>
    <row r="152">
      <c r="A152" s="263"/>
      <c r="B152" s="263"/>
      <c r="C152" s="263"/>
      <c r="F152" s="264"/>
      <c r="G152" s="294"/>
      <c r="H152" s="294"/>
      <c r="I152" s="310"/>
    </row>
    <row r="153">
      <c r="A153" s="263"/>
      <c r="B153" s="263"/>
      <c r="C153" s="263"/>
      <c r="F153" s="264"/>
      <c r="G153" s="294"/>
      <c r="H153" s="294"/>
      <c r="I153" s="310"/>
    </row>
    <row r="154">
      <c r="A154" s="263"/>
      <c r="B154" s="263"/>
      <c r="C154" s="263"/>
      <c r="F154" s="264"/>
      <c r="G154" s="294"/>
      <c r="H154" s="294"/>
      <c r="I154" s="310"/>
    </row>
    <row r="155">
      <c r="A155" s="263"/>
      <c r="B155" s="263"/>
      <c r="C155" s="263"/>
      <c r="F155" s="264"/>
      <c r="G155" s="294"/>
      <c r="H155" s="294"/>
      <c r="I155" s="310"/>
    </row>
    <row r="156">
      <c r="A156" s="263"/>
      <c r="B156" s="263"/>
      <c r="C156" s="263"/>
      <c r="F156" s="264"/>
      <c r="G156" s="294"/>
      <c r="H156" s="294"/>
      <c r="I156" s="310"/>
    </row>
    <row r="157">
      <c r="A157" s="263"/>
      <c r="B157" s="263"/>
      <c r="C157" s="263"/>
      <c r="F157" s="264"/>
      <c r="G157" s="294"/>
      <c r="H157" s="294"/>
      <c r="I157" s="310"/>
    </row>
    <row r="158">
      <c r="A158" s="263"/>
      <c r="B158" s="263"/>
      <c r="C158" s="263"/>
      <c r="F158" s="264"/>
      <c r="G158" s="294"/>
      <c r="H158" s="294"/>
      <c r="I158" s="310"/>
    </row>
    <row r="159">
      <c r="A159" s="263"/>
      <c r="B159" s="263"/>
      <c r="C159" s="263"/>
      <c r="F159" s="264"/>
      <c r="G159" s="294"/>
      <c r="H159" s="294"/>
      <c r="I159" s="310"/>
    </row>
    <row r="160">
      <c r="A160" s="263"/>
      <c r="B160" s="263"/>
      <c r="C160" s="263"/>
      <c r="F160" s="264"/>
      <c r="G160" s="294"/>
      <c r="H160" s="294"/>
      <c r="I160" s="310"/>
    </row>
    <row r="161">
      <c r="A161" s="263"/>
      <c r="B161" s="263"/>
      <c r="C161" s="263"/>
      <c r="F161" s="264"/>
      <c r="G161" s="294"/>
      <c r="H161" s="294"/>
      <c r="I161" s="310"/>
    </row>
    <row r="162">
      <c r="A162" s="263"/>
      <c r="B162" s="263"/>
      <c r="C162" s="263"/>
      <c r="F162" s="264"/>
      <c r="G162" s="294"/>
      <c r="H162" s="294"/>
      <c r="I162" s="310"/>
    </row>
    <row r="163">
      <c r="A163" s="263"/>
      <c r="B163" s="263"/>
      <c r="C163" s="263"/>
      <c r="F163" s="264"/>
      <c r="G163" s="294"/>
      <c r="H163" s="294"/>
      <c r="I163" s="310"/>
    </row>
    <row r="164">
      <c r="A164" s="263"/>
      <c r="B164" s="263"/>
      <c r="C164" s="263"/>
      <c r="F164" s="264"/>
      <c r="G164" s="294"/>
      <c r="H164" s="294"/>
      <c r="I164" s="310"/>
    </row>
    <row r="165">
      <c r="A165" s="263"/>
      <c r="B165" s="263"/>
      <c r="C165" s="263"/>
      <c r="F165" s="264"/>
      <c r="G165" s="294"/>
      <c r="H165" s="294"/>
      <c r="I165" s="310"/>
    </row>
    <row r="166">
      <c r="A166" s="263"/>
      <c r="B166" s="263"/>
      <c r="C166" s="263"/>
      <c r="F166" s="264"/>
      <c r="G166" s="294"/>
      <c r="H166" s="294"/>
      <c r="I166" s="310"/>
    </row>
    <row r="167">
      <c r="A167" s="263"/>
      <c r="B167" s="263"/>
      <c r="C167" s="263"/>
      <c r="F167" s="264"/>
      <c r="G167" s="294"/>
      <c r="H167" s="294"/>
      <c r="I167" s="310"/>
    </row>
    <row r="168">
      <c r="A168" s="263"/>
      <c r="B168" s="263"/>
      <c r="C168" s="263"/>
      <c r="F168" s="264"/>
      <c r="G168" s="294"/>
      <c r="H168" s="294"/>
      <c r="I168" s="310"/>
    </row>
    <row r="169">
      <c r="A169" s="263"/>
      <c r="B169" s="263"/>
      <c r="C169" s="263"/>
      <c r="F169" s="264"/>
      <c r="G169" s="294"/>
      <c r="H169" s="294"/>
      <c r="I169" s="310"/>
    </row>
    <row r="170">
      <c r="A170" s="263"/>
      <c r="B170" s="263"/>
      <c r="C170" s="263"/>
      <c r="F170" s="264"/>
      <c r="G170" s="294"/>
      <c r="H170" s="294"/>
      <c r="I170" s="310"/>
    </row>
    <row r="171">
      <c r="A171" s="263"/>
      <c r="B171" s="263"/>
      <c r="C171" s="263"/>
      <c r="F171" s="264"/>
      <c r="G171" s="294"/>
      <c r="H171" s="294"/>
      <c r="I171" s="310"/>
    </row>
    <row r="172">
      <c r="A172" s="263"/>
      <c r="B172" s="263"/>
      <c r="C172" s="263"/>
      <c r="F172" s="264"/>
      <c r="G172" s="294"/>
      <c r="H172" s="294"/>
      <c r="I172" s="310"/>
    </row>
    <row r="173">
      <c r="A173" s="263"/>
      <c r="B173" s="263"/>
      <c r="C173" s="263"/>
      <c r="F173" s="264"/>
      <c r="G173" s="294"/>
      <c r="H173" s="294"/>
      <c r="I173" s="310"/>
    </row>
    <row r="174">
      <c r="A174" s="263"/>
      <c r="B174" s="263"/>
      <c r="C174" s="263"/>
      <c r="F174" s="264"/>
      <c r="G174" s="294"/>
      <c r="H174" s="294"/>
      <c r="I174" s="310"/>
    </row>
    <row r="175">
      <c r="A175" s="263"/>
      <c r="B175" s="263"/>
      <c r="C175" s="263"/>
      <c r="F175" s="264"/>
      <c r="G175" s="294"/>
      <c r="H175" s="294"/>
      <c r="I175" s="310"/>
    </row>
    <row r="176">
      <c r="A176" s="263"/>
      <c r="B176" s="263"/>
      <c r="C176" s="263"/>
      <c r="F176" s="264"/>
      <c r="G176" s="294"/>
      <c r="H176" s="294"/>
      <c r="I176" s="310"/>
    </row>
    <row r="177">
      <c r="A177" s="263"/>
      <c r="B177" s="263"/>
      <c r="C177" s="263"/>
      <c r="F177" s="264"/>
      <c r="G177" s="294"/>
      <c r="H177" s="294"/>
      <c r="I177" s="310"/>
    </row>
    <row r="178">
      <c r="A178" s="263"/>
      <c r="B178" s="263"/>
      <c r="C178" s="263"/>
      <c r="F178" s="264"/>
      <c r="G178" s="294"/>
      <c r="H178" s="294"/>
      <c r="I178" s="310"/>
    </row>
    <row r="179">
      <c r="A179" s="263"/>
      <c r="B179" s="263"/>
      <c r="C179" s="263"/>
      <c r="F179" s="264"/>
      <c r="G179" s="294"/>
      <c r="H179" s="294"/>
      <c r="I179" s="310"/>
    </row>
    <row r="180">
      <c r="A180" s="263"/>
      <c r="B180" s="263"/>
      <c r="C180" s="263"/>
      <c r="F180" s="264"/>
      <c r="G180" s="294"/>
      <c r="H180" s="294"/>
      <c r="I180" s="310"/>
    </row>
    <row r="181">
      <c r="A181" s="263"/>
      <c r="B181" s="263"/>
      <c r="C181" s="263"/>
      <c r="F181" s="264"/>
      <c r="G181" s="294"/>
      <c r="H181" s="294"/>
      <c r="I181" s="310"/>
    </row>
    <row r="182">
      <c r="A182" s="263"/>
      <c r="B182" s="263"/>
      <c r="C182" s="263"/>
      <c r="F182" s="264"/>
      <c r="G182" s="294"/>
      <c r="H182" s="294"/>
      <c r="I182" s="310"/>
    </row>
    <row r="183">
      <c r="A183" s="263"/>
      <c r="B183" s="263"/>
      <c r="C183" s="263"/>
      <c r="F183" s="264"/>
      <c r="G183" s="294"/>
      <c r="H183" s="294"/>
      <c r="I183" s="310"/>
    </row>
    <row r="184">
      <c r="A184" s="263"/>
      <c r="B184" s="263"/>
      <c r="C184" s="263"/>
      <c r="F184" s="264"/>
      <c r="G184" s="294"/>
      <c r="H184" s="294"/>
      <c r="I184" s="310"/>
    </row>
    <row r="185">
      <c r="A185" s="263"/>
      <c r="B185" s="263"/>
      <c r="C185" s="263"/>
      <c r="F185" s="264"/>
      <c r="G185" s="294"/>
      <c r="H185" s="294"/>
      <c r="I185" s="310"/>
    </row>
    <row r="186">
      <c r="A186" s="263"/>
      <c r="B186" s="263"/>
      <c r="C186" s="263"/>
      <c r="F186" s="264"/>
      <c r="G186" s="294"/>
      <c r="H186" s="294"/>
      <c r="I186" s="310"/>
    </row>
    <row r="187">
      <c r="A187" s="263"/>
      <c r="B187" s="263"/>
      <c r="C187" s="263"/>
      <c r="F187" s="264"/>
      <c r="G187" s="294"/>
      <c r="H187" s="294"/>
      <c r="I187" s="310"/>
    </row>
    <row r="188">
      <c r="A188" s="263"/>
      <c r="B188" s="263"/>
      <c r="C188" s="263"/>
      <c r="F188" s="264"/>
      <c r="G188" s="294"/>
      <c r="H188" s="294"/>
      <c r="I188" s="310"/>
    </row>
    <row r="189">
      <c r="A189" s="263"/>
      <c r="B189" s="263"/>
      <c r="C189" s="263"/>
      <c r="F189" s="264"/>
      <c r="G189" s="294"/>
      <c r="H189" s="294"/>
      <c r="I189" s="310"/>
    </row>
    <row r="190">
      <c r="A190" s="263"/>
      <c r="B190" s="263"/>
      <c r="C190" s="263"/>
      <c r="F190" s="264"/>
      <c r="G190" s="294"/>
      <c r="H190" s="294"/>
      <c r="I190" s="310"/>
    </row>
    <row r="191">
      <c r="A191" s="263"/>
      <c r="B191" s="263"/>
      <c r="C191" s="263"/>
      <c r="F191" s="264"/>
      <c r="G191" s="294"/>
      <c r="H191" s="294"/>
      <c r="I191" s="310"/>
    </row>
    <row r="192">
      <c r="A192" s="263"/>
      <c r="B192" s="263"/>
      <c r="C192" s="263"/>
      <c r="F192" s="264"/>
      <c r="G192" s="294"/>
      <c r="H192" s="294"/>
      <c r="I192" s="310"/>
    </row>
    <row r="193">
      <c r="A193" s="263"/>
      <c r="B193" s="263"/>
      <c r="C193" s="263"/>
      <c r="F193" s="264"/>
      <c r="G193" s="294"/>
      <c r="H193" s="294"/>
      <c r="I193" s="310"/>
    </row>
    <row r="194">
      <c r="A194" s="263"/>
      <c r="B194" s="263"/>
      <c r="C194" s="263"/>
      <c r="F194" s="264"/>
      <c r="G194" s="294"/>
      <c r="H194" s="294"/>
      <c r="I194" s="310"/>
    </row>
    <row r="195">
      <c r="A195" s="263"/>
      <c r="B195" s="263"/>
      <c r="C195" s="263"/>
      <c r="F195" s="264"/>
      <c r="G195" s="294"/>
      <c r="H195" s="294"/>
      <c r="I195" s="310"/>
    </row>
    <row r="196">
      <c r="A196" s="263"/>
      <c r="B196" s="263"/>
      <c r="C196" s="263"/>
      <c r="F196" s="264"/>
      <c r="G196" s="294"/>
      <c r="H196" s="294"/>
      <c r="I196" s="310"/>
    </row>
    <row r="197">
      <c r="A197" s="263"/>
      <c r="B197" s="263"/>
      <c r="C197" s="263"/>
      <c r="F197" s="264"/>
      <c r="G197" s="294"/>
      <c r="H197" s="294"/>
      <c r="I197" s="310"/>
    </row>
    <row r="198">
      <c r="A198" s="263"/>
      <c r="B198" s="263"/>
      <c r="C198" s="263"/>
      <c r="F198" s="264"/>
      <c r="G198" s="294"/>
      <c r="H198" s="294"/>
      <c r="I198" s="310"/>
    </row>
    <row r="199">
      <c r="A199" s="263"/>
      <c r="B199" s="263"/>
      <c r="C199" s="263"/>
      <c r="F199" s="264"/>
      <c r="G199" s="294"/>
      <c r="H199" s="294"/>
      <c r="I199" s="310"/>
    </row>
    <row r="200">
      <c r="A200" s="263"/>
      <c r="B200" s="263"/>
      <c r="C200" s="263"/>
      <c r="F200" s="264"/>
      <c r="G200" s="294"/>
      <c r="H200" s="294"/>
      <c r="I200" s="310"/>
    </row>
    <row r="201">
      <c r="A201" s="263"/>
      <c r="B201" s="263"/>
      <c r="C201" s="263"/>
      <c r="F201" s="264"/>
      <c r="G201" s="294"/>
      <c r="H201" s="294"/>
      <c r="I201" s="310"/>
    </row>
    <row r="202">
      <c r="A202" s="263"/>
      <c r="B202" s="263"/>
      <c r="C202" s="263"/>
      <c r="F202" s="264"/>
      <c r="G202" s="294"/>
      <c r="H202" s="294"/>
      <c r="I202" s="310"/>
    </row>
    <row r="203">
      <c r="A203" s="263"/>
      <c r="B203" s="263"/>
      <c r="C203" s="263"/>
      <c r="F203" s="264"/>
      <c r="G203" s="294"/>
      <c r="H203" s="294"/>
      <c r="I203" s="310"/>
    </row>
    <row r="204">
      <c r="A204" s="263"/>
      <c r="B204" s="263"/>
      <c r="C204" s="263"/>
      <c r="F204" s="264"/>
      <c r="G204" s="294"/>
      <c r="H204" s="294"/>
      <c r="I204" s="310"/>
    </row>
    <row r="205">
      <c r="A205" s="263"/>
      <c r="B205" s="263"/>
      <c r="C205" s="263"/>
      <c r="F205" s="264"/>
      <c r="G205" s="294"/>
      <c r="H205" s="294"/>
      <c r="I205" s="310"/>
    </row>
    <row r="206">
      <c r="A206" s="263"/>
      <c r="B206" s="263"/>
      <c r="C206" s="263"/>
      <c r="F206" s="264"/>
      <c r="G206" s="294"/>
      <c r="H206" s="294"/>
      <c r="I206" s="310"/>
    </row>
    <row r="207">
      <c r="A207" s="263"/>
      <c r="B207" s="263"/>
      <c r="C207" s="263"/>
      <c r="F207" s="264"/>
      <c r="G207" s="294"/>
      <c r="H207" s="294"/>
      <c r="I207" s="310"/>
    </row>
    <row r="208">
      <c r="A208" s="263"/>
      <c r="B208" s="263"/>
      <c r="C208" s="263"/>
      <c r="F208" s="264"/>
      <c r="G208" s="294"/>
      <c r="H208" s="294"/>
      <c r="I208" s="310"/>
    </row>
    <row r="209">
      <c r="A209" s="263"/>
      <c r="B209" s="263"/>
      <c r="C209" s="263"/>
      <c r="F209" s="264"/>
      <c r="G209" s="294"/>
      <c r="H209" s="294"/>
      <c r="I209" s="310"/>
    </row>
    <row r="210">
      <c r="A210" s="263"/>
      <c r="B210" s="263"/>
      <c r="C210" s="263"/>
      <c r="F210" s="264"/>
      <c r="G210" s="294"/>
      <c r="H210" s="294"/>
      <c r="I210" s="310"/>
    </row>
    <row r="211">
      <c r="A211" s="263"/>
      <c r="B211" s="263"/>
      <c r="C211" s="263"/>
      <c r="F211" s="264"/>
      <c r="G211" s="294"/>
      <c r="H211" s="294"/>
      <c r="I211" s="310"/>
    </row>
    <row r="212">
      <c r="A212" s="263"/>
      <c r="B212" s="263"/>
      <c r="C212" s="263"/>
      <c r="F212" s="264"/>
      <c r="G212" s="294"/>
      <c r="H212" s="294"/>
      <c r="I212" s="310"/>
    </row>
    <row r="213">
      <c r="A213" s="263"/>
      <c r="B213" s="263"/>
      <c r="C213" s="263"/>
      <c r="F213" s="264"/>
      <c r="G213" s="294"/>
      <c r="H213" s="294"/>
      <c r="I213" s="310"/>
    </row>
    <row r="214">
      <c r="A214" s="263"/>
      <c r="B214" s="263"/>
      <c r="C214" s="263"/>
      <c r="F214" s="264"/>
      <c r="G214" s="294"/>
      <c r="H214" s="294"/>
      <c r="I214" s="310"/>
    </row>
    <row r="215">
      <c r="A215" s="263"/>
      <c r="B215" s="263"/>
      <c r="C215" s="263"/>
      <c r="F215" s="264"/>
      <c r="G215" s="294"/>
      <c r="H215" s="294"/>
      <c r="I215" s="310"/>
    </row>
    <row r="216">
      <c r="A216" s="263"/>
      <c r="B216" s="263"/>
      <c r="C216" s="263"/>
      <c r="F216" s="264"/>
      <c r="G216" s="294"/>
      <c r="H216" s="294"/>
      <c r="I216" s="310"/>
    </row>
    <row r="217">
      <c r="A217" s="263"/>
      <c r="B217" s="263"/>
      <c r="C217" s="263"/>
      <c r="F217" s="264"/>
      <c r="G217" s="294"/>
      <c r="H217" s="294"/>
      <c r="I217" s="310"/>
    </row>
    <row r="218">
      <c r="A218" s="263"/>
      <c r="B218" s="263"/>
      <c r="C218" s="263"/>
      <c r="F218" s="264"/>
      <c r="G218" s="294"/>
      <c r="H218" s="294"/>
      <c r="I218" s="310"/>
    </row>
    <row r="219">
      <c r="A219" s="263"/>
      <c r="B219" s="263"/>
      <c r="C219" s="263"/>
      <c r="F219" s="264"/>
      <c r="G219" s="294"/>
      <c r="H219" s="294"/>
      <c r="I219" s="310"/>
    </row>
    <row r="220">
      <c r="A220" s="263"/>
      <c r="B220" s="263"/>
      <c r="C220" s="263"/>
      <c r="F220" s="264"/>
      <c r="G220" s="294"/>
      <c r="H220" s="294"/>
      <c r="I220" s="310"/>
    </row>
    <row r="221">
      <c r="A221" s="263"/>
      <c r="B221" s="263"/>
      <c r="C221" s="263"/>
      <c r="F221" s="264"/>
      <c r="G221" s="294"/>
      <c r="H221" s="294"/>
      <c r="I221" s="310"/>
    </row>
    <row r="222">
      <c r="A222" s="263"/>
      <c r="B222" s="263"/>
      <c r="C222" s="263"/>
      <c r="F222" s="264"/>
      <c r="G222" s="294"/>
      <c r="H222" s="294"/>
      <c r="I222" s="310"/>
    </row>
    <row r="223">
      <c r="A223" s="263"/>
      <c r="B223" s="263"/>
      <c r="C223" s="263"/>
      <c r="F223" s="264"/>
      <c r="G223" s="294"/>
      <c r="H223" s="294"/>
      <c r="I223" s="310"/>
    </row>
    <row r="224">
      <c r="A224" s="263"/>
      <c r="B224" s="263"/>
      <c r="C224" s="263"/>
      <c r="F224" s="264"/>
      <c r="G224" s="294"/>
      <c r="H224" s="294"/>
      <c r="I224" s="310"/>
    </row>
    <row r="225">
      <c r="A225" s="263"/>
      <c r="B225" s="263"/>
      <c r="C225" s="263"/>
      <c r="F225" s="264"/>
      <c r="G225" s="294"/>
      <c r="H225" s="294"/>
      <c r="I225" s="310"/>
    </row>
    <row r="226">
      <c r="A226" s="263"/>
      <c r="B226" s="263"/>
      <c r="C226" s="263"/>
      <c r="F226" s="264"/>
      <c r="G226" s="294"/>
      <c r="H226" s="294"/>
      <c r="I226" s="310"/>
    </row>
    <row r="227">
      <c r="A227" s="263"/>
      <c r="B227" s="263"/>
      <c r="C227" s="263"/>
      <c r="F227" s="264"/>
      <c r="G227" s="294"/>
      <c r="H227" s="294"/>
      <c r="I227" s="310"/>
    </row>
    <row r="228">
      <c r="A228" s="263"/>
      <c r="B228" s="263"/>
      <c r="C228" s="263"/>
      <c r="F228" s="264"/>
      <c r="G228" s="294"/>
      <c r="H228" s="294"/>
      <c r="I228" s="310"/>
    </row>
    <row r="229">
      <c r="A229" s="263"/>
      <c r="B229" s="263"/>
      <c r="C229" s="263"/>
      <c r="F229" s="264"/>
      <c r="G229" s="294"/>
      <c r="H229" s="294"/>
      <c r="I229" s="310"/>
    </row>
    <row r="230">
      <c r="A230" s="263"/>
      <c r="B230" s="263"/>
      <c r="C230" s="263"/>
      <c r="F230" s="264"/>
      <c r="G230" s="294"/>
      <c r="H230" s="294"/>
      <c r="I230" s="310"/>
    </row>
    <row r="231">
      <c r="A231" s="263"/>
      <c r="B231" s="263"/>
      <c r="C231" s="263"/>
      <c r="F231" s="264"/>
      <c r="G231" s="294"/>
      <c r="H231" s="294"/>
      <c r="I231" s="310"/>
    </row>
    <row r="232">
      <c r="A232" s="263"/>
      <c r="B232" s="263"/>
      <c r="C232" s="263"/>
      <c r="F232" s="264"/>
      <c r="G232" s="294"/>
      <c r="H232" s="294"/>
      <c r="I232" s="310"/>
    </row>
    <row r="233">
      <c r="A233" s="263"/>
      <c r="B233" s="263"/>
      <c r="C233" s="263"/>
      <c r="F233" s="264"/>
      <c r="G233" s="294"/>
      <c r="H233" s="294"/>
      <c r="I233" s="310"/>
    </row>
    <row r="234">
      <c r="A234" s="263"/>
      <c r="B234" s="263"/>
      <c r="C234" s="263"/>
      <c r="F234" s="264"/>
      <c r="G234" s="294"/>
      <c r="H234" s="294"/>
      <c r="I234" s="310"/>
    </row>
    <row r="235">
      <c r="A235" s="263"/>
      <c r="B235" s="263"/>
      <c r="C235" s="263"/>
      <c r="F235" s="264"/>
      <c r="G235" s="294"/>
      <c r="H235" s="294"/>
      <c r="I235" s="310"/>
    </row>
    <row r="236">
      <c r="A236" s="263"/>
      <c r="B236" s="263"/>
      <c r="C236" s="263"/>
      <c r="F236" s="264"/>
      <c r="G236" s="294"/>
      <c r="H236" s="294"/>
      <c r="I236" s="310"/>
    </row>
    <row r="237">
      <c r="A237" s="263"/>
      <c r="B237" s="263"/>
      <c r="C237" s="263"/>
      <c r="F237" s="264"/>
      <c r="G237" s="294"/>
      <c r="H237" s="294"/>
      <c r="I237" s="310"/>
    </row>
    <row r="238">
      <c r="A238" s="263"/>
      <c r="B238" s="263"/>
      <c r="C238" s="263"/>
      <c r="F238" s="264"/>
      <c r="G238" s="294"/>
      <c r="H238" s="294"/>
      <c r="I238" s="310"/>
    </row>
    <row r="239">
      <c r="A239" s="263"/>
      <c r="B239" s="263"/>
      <c r="C239" s="263"/>
      <c r="F239" s="264"/>
      <c r="G239" s="294"/>
      <c r="H239" s="294"/>
      <c r="I239" s="310"/>
    </row>
    <row r="240">
      <c r="A240" s="263"/>
      <c r="B240" s="263"/>
      <c r="C240" s="263"/>
      <c r="F240" s="264"/>
      <c r="G240" s="294"/>
      <c r="H240" s="294"/>
      <c r="I240" s="310"/>
    </row>
    <row r="241">
      <c r="A241" s="263"/>
      <c r="B241" s="263"/>
      <c r="C241" s="263"/>
      <c r="F241" s="264"/>
      <c r="G241" s="294"/>
      <c r="H241" s="294"/>
      <c r="I241" s="310"/>
    </row>
    <row r="242">
      <c r="A242" s="263"/>
      <c r="B242" s="263"/>
      <c r="C242" s="263"/>
      <c r="F242" s="264"/>
      <c r="G242" s="294"/>
      <c r="H242" s="294"/>
      <c r="I242" s="310"/>
    </row>
    <row r="243">
      <c r="A243" s="263"/>
      <c r="B243" s="263"/>
      <c r="C243" s="263"/>
      <c r="F243" s="264"/>
      <c r="G243" s="294"/>
      <c r="H243" s="294"/>
      <c r="I243" s="310"/>
    </row>
    <row r="244">
      <c r="A244" s="263"/>
      <c r="B244" s="263"/>
      <c r="C244" s="263"/>
      <c r="F244" s="264"/>
      <c r="G244" s="294"/>
      <c r="H244" s="294"/>
      <c r="I244" s="310"/>
    </row>
    <row r="245">
      <c r="A245" s="263"/>
      <c r="B245" s="263"/>
      <c r="C245" s="263"/>
      <c r="F245" s="264"/>
      <c r="G245" s="294"/>
      <c r="H245" s="294"/>
      <c r="I245" s="310"/>
    </row>
    <row r="246">
      <c r="A246" s="263"/>
      <c r="B246" s="263"/>
      <c r="C246" s="263"/>
      <c r="F246" s="264"/>
      <c r="G246" s="294"/>
      <c r="H246" s="294"/>
      <c r="I246" s="310"/>
    </row>
    <row r="247">
      <c r="A247" s="263"/>
      <c r="B247" s="263"/>
      <c r="C247" s="263"/>
      <c r="F247" s="264"/>
      <c r="G247" s="294"/>
      <c r="H247" s="294"/>
      <c r="I247" s="310"/>
    </row>
    <row r="248">
      <c r="A248" s="263"/>
      <c r="B248" s="263"/>
      <c r="C248" s="263"/>
      <c r="F248" s="264"/>
      <c r="G248" s="294"/>
      <c r="H248" s="294"/>
      <c r="I248" s="310"/>
    </row>
    <row r="249">
      <c r="A249" s="263"/>
      <c r="B249" s="263"/>
      <c r="C249" s="263"/>
      <c r="F249" s="264"/>
      <c r="G249" s="294"/>
      <c r="H249" s="294"/>
      <c r="I249" s="310"/>
    </row>
    <row r="250">
      <c r="A250" s="263"/>
      <c r="B250" s="263"/>
      <c r="C250" s="263"/>
      <c r="F250" s="264"/>
      <c r="G250" s="294"/>
      <c r="H250" s="294"/>
      <c r="I250" s="310"/>
    </row>
    <row r="251">
      <c r="A251" s="263"/>
      <c r="B251" s="263"/>
      <c r="C251" s="263"/>
      <c r="F251" s="264"/>
      <c r="G251" s="294"/>
      <c r="H251" s="294"/>
      <c r="I251" s="310"/>
    </row>
    <row r="252">
      <c r="A252" s="263"/>
      <c r="B252" s="263"/>
      <c r="C252" s="263"/>
      <c r="F252" s="264"/>
      <c r="G252" s="294"/>
      <c r="H252" s="294"/>
      <c r="I252" s="310"/>
    </row>
    <row r="253">
      <c r="A253" s="263"/>
      <c r="B253" s="263"/>
      <c r="C253" s="263"/>
      <c r="F253" s="264"/>
      <c r="G253" s="294"/>
      <c r="H253" s="294"/>
      <c r="I253" s="310"/>
    </row>
    <row r="254">
      <c r="A254" s="263"/>
      <c r="B254" s="263"/>
      <c r="C254" s="263"/>
      <c r="F254" s="264"/>
      <c r="G254" s="294"/>
      <c r="H254" s="294"/>
      <c r="I254" s="310"/>
    </row>
    <row r="255">
      <c r="A255" s="263"/>
      <c r="B255" s="263"/>
      <c r="C255" s="263"/>
      <c r="F255" s="264"/>
      <c r="G255" s="294"/>
      <c r="H255" s="294"/>
      <c r="I255" s="310"/>
    </row>
    <row r="256">
      <c r="A256" s="263"/>
      <c r="B256" s="263"/>
      <c r="C256" s="263"/>
      <c r="F256" s="264"/>
      <c r="G256" s="294"/>
      <c r="H256" s="294"/>
      <c r="I256" s="310"/>
    </row>
    <row r="257">
      <c r="A257" s="263"/>
      <c r="B257" s="263"/>
      <c r="C257" s="263"/>
      <c r="F257" s="264"/>
      <c r="G257" s="294"/>
      <c r="H257" s="294"/>
      <c r="I257" s="310"/>
    </row>
    <row r="258">
      <c r="A258" s="263"/>
      <c r="B258" s="263"/>
      <c r="C258" s="263"/>
      <c r="F258" s="264"/>
      <c r="G258" s="294"/>
      <c r="H258" s="294"/>
      <c r="I258" s="310"/>
    </row>
    <row r="259">
      <c r="A259" s="263"/>
      <c r="B259" s="263"/>
      <c r="C259" s="263"/>
      <c r="F259" s="264"/>
      <c r="G259" s="294"/>
      <c r="H259" s="294"/>
      <c r="I259" s="310"/>
    </row>
    <row r="260">
      <c r="A260" s="263"/>
      <c r="B260" s="263"/>
      <c r="C260" s="263"/>
      <c r="F260" s="264"/>
      <c r="G260" s="294"/>
      <c r="H260" s="294"/>
      <c r="I260" s="310"/>
    </row>
    <row r="261">
      <c r="A261" s="263"/>
      <c r="B261" s="263"/>
      <c r="C261" s="263"/>
      <c r="F261" s="264"/>
      <c r="G261" s="294"/>
      <c r="H261" s="294"/>
      <c r="I261" s="310"/>
    </row>
    <row r="262">
      <c r="A262" s="263"/>
      <c r="B262" s="263"/>
      <c r="C262" s="263"/>
      <c r="F262" s="264"/>
      <c r="G262" s="294"/>
      <c r="H262" s="294"/>
      <c r="I262" s="310"/>
    </row>
    <row r="263">
      <c r="A263" s="263"/>
      <c r="B263" s="263"/>
      <c r="C263" s="263"/>
      <c r="F263" s="264"/>
      <c r="G263" s="294"/>
      <c r="H263" s="294"/>
      <c r="I263" s="310"/>
    </row>
    <row r="264">
      <c r="A264" s="263"/>
      <c r="B264" s="263"/>
      <c r="C264" s="263"/>
      <c r="F264" s="264"/>
      <c r="G264" s="294"/>
      <c r="H264" s="294"/>
      <c r="I264" s="310"/>
    </row>
    <row r="265">
      <c r="A265" s="263"/>
      <c r="B265" s="263"/>
      <c r="C265" s="263"/>
      <c r="F265" s="264"/>
      <c r="G265" s="294"/>
      <c r="H265" s="294"/>
      <c r="I265" s="310"/>
    </row>
    <row r="266">
      <c r="A266" s="263"/>
      <c r="B266" s="263"/>
      <c r="C266" s="263"/>
      <c r="F266" s="264"/>
      <c r="G266" s="294"/>
      <c r="H266" s="294"/>
      <c r="I266" s="310"/>
    </row>
    <row r="267">
      <c r="A267" s="263"/>
      <c r="B267" s="263"/>
      <c r="C267" s="263"/>
      <c r="F267" s="264"/>
      <c r="G267" s="294"/>
      <c r="H267" s="294"/>
      <c r="I267" s="310"/>
    </row>
    <row r="268">
      <c r="A268" s="263"/>
      <c r="B268" s="263"/>
      <c r="C268" s="263"/>
      <c r="F268" s="264"/>
      <c r="G268" s="294"/>
      <c r="H268" s="294"/>
      <c r="I268" s="310"/>
    </row>
    <row r="269">
      <c r="A269" s="263"/>
      <c r="B269" s="263"/>
      <c r="C269" s="263"/>
      <c r="F269" s="264"/>
      <c r="G269" s="294"/>
      <c r="H269" s="294"/>
      <c r="I269" s="310"/>
    </row>
    <row r="270">
      <c r="A270" s="263"/>
      <c r="B270" s="263"/>
      <c r="C270" s="263"/>
      <c r="F270" s="264"/>
      <c r="G270" s="294"/>
      <c r="H270" s="294"/>
      <c r="I270" s="310"/>
    </row>
    <row r="271">
      <c r="A271" s="263"/>
      <c r="B271" s="263"/>
      <c r="C271" s="263"/>
      <c r="F271" s="264"/>
      <c r="G271" s="294"/>
      <c r="H271" s="294"/>
      <c r="I271" s="310"/>
    </row>
    <row r="272">
      <c r="A272" s="263"/>
      <c r="B272" s="263"/>
      <c r="C272" s="263"/>
      <c r="F272" s="264"/>
      <c r="G272" s="294"/>
      <c r="H272" s="294"/>
      <c r="I272" s="310"/>
    </row>
    <row r="273">
      <c r="A273" s="263"/>
      <c r="B273" s="263"/>
      <c r="C273" s="263"/>
      <c r="F273" s="264"/>
      <c r="G273" s="294"/>
      <c r="H273" s="294"/>
      <c r="I273" s="310"/>
    </row>
    <row r="274">
      <c r="A274" s="263"/>
      <c r="B274" s="263"/>
      <c r="C274" s="263"/>
      <c r="F274" s="264"/>
      <c r="G274" s="294"/>
      <c r="H274" s="294"/>
      <c r="I274" s="310"/>
    </row>
    <row r="275">
      <c r="A275" s="263"/>
      <c r="B275" s="263"/>
      <c r="C275" s="263"/>
      <c r="F275" s="264"/>
      <c r="G275" s="294"/>
      <c r="H275" s="294"/>
      <c r="I275" s="310"/>
    </row>
    <row r="276">
      <c r="A276" s="263"/>
      <c r="B276" s="263"/>
      <c r="C276" s="263"/>
      <c r="F276" s="264"/>
      <c r="G276" s="294"/>
      <c r="H276" s="294"/>
      <c r="I276" s="310"/>
    </row>
    <row r="277">
      <c r="A277" s="263"/>
      <c r="B277" s="263"/>
      <c r="C277" s="263"/>
      <c r="F277" s="264"/>
      <c r="G277" s="294"/>
      <c r="H277" s="294"/>
      <c r="I277" s="310"/>
    </row>
    <row r="278">
      <c r="A278" s="263"/>
      <c r="B278" s="263"/>
      <c r="C278" s="263"/>
      <c r="F278" s="264"/>
      <c r="G278" s="294"/>
      <c r="H278" s="294"/>
      <c r="I278" s="310"/>
    </row>
    <row r="279">
      <c r="A279" s="263"/>
      <c r="B279" s="263"/>
      <c r="C279" s="263"/>
      <c r="F279" s="264"/>
      <c r="G279" s="294"/>
      <c r="H279" s="294"/>
      <c r="I279" s="310"/>
    </row>
    <row r="280">
      <c r="A280" s="263"/>
      <c r="B280" s="263"/>
      <c r="C280" s="263"/>
      <c r="F280" s="264"/>
      <c r="G280" s="294"/>
      <c r="H280" s="294"/>
      <c r="I280" s="310"/>
    </row>
    <row r="281">
      <c r="A281" s="263"/>
      <c r="B281" s="263"/>
      <c r="C281" s="263"/>
      <c r="F281" s="264"/>
      <c r="G281" s="294"/>
      <c r="H281" s="294"/>
      <c r="I281" s="310"/>
    </row>
    <row r="282">
      <c r="A282" s="263"/>
      <c r="B282" s="263"/>
      <c r="C282" s="263"/>
      <c r="F282" s="264"/>
      <c r="G282" s="294"/>
      <c r="H282" s="294"/>
      <c r="I282" s="310"/>
    </row>
    <row r="283">
      <c r="A283" s="263"/>
      <c r="B283" s="263"/>
      <c r="C283" s="263"/>
      <c r="F283" s="264"/>
      <c r="G283" s="294"/>
      <c r="H283" s="294"/>
      <c r="I283" s="310"/>
    </row>
    <row r="284">
      <c r="A284" s="263"/>
      <c r="B284" s="263"/>
      <c r="C284" s="263"/>
      <c r="F284" s="264"/>
      <c r="G284" s="294"/>
      <c r="H284" s="294"/>
      <c r="I284" s="310"/>
    </row>
    <row r="285">
      <c r="A285" s="263"/>
      <c r="B285" s="263"/>
      <c r="C285" s="263"/>
      <c r="F285" s="264"/>
      <c r="G285" s="294"/>
      <c r="H285" s="294"/>
      <c r="I285" s="310"/>
    </row>
    <row r="286">
      <c r="A286" s="263"/>
      <c r="B286" s="263"/>
      <c r="C286" s="263"/>
      <c r="F286" s="264"/>
      <c r="G286" s="294"/>
      <c r="H286" s="294"/>
      <c r="I286" s="310"/>
    </row>
    <row r="287">
      <c r="A287" s="263"/>
      <c r="B287" s="263"/>
      <c r="C287" s="263"/>
      <c r="F287" s="264"/>
      <c r="G287" s="294"/>
      <c r="H287" s="294"/>
      <c r="I287" s="310"/>
    </row>
    <row r="288">
      <c r="A288" s="263"/>
      <c r="B288" s="263"/>
      <c r="C288" s="263"/>
      <c r="F288" s="264"/>
      <c r="G288" s="294"/>
      <c r="H288" s="294"/>
      <c r="I288" s="310"/>
    </row>
    <row r="289">
      <c r="A289" s="263"/>
      <c r="B289" s="263"/>
      <c r="C289" s="263"/>
      <c r="F289" s="264"/>
      <c r="G289" s="294"/>
      <c r="H289" s="294"/>
      <c r="I289" s="310"/>
    </row>
    <row r="290">
      <c r="A290" s="263"/>
      <c r="B290" s="263"/>
      <c r="C290" s="263"/>
      <c r="F290" s="264"/>
      <c r="G290" s="294"/>
      <c r="H290" s="294"/>
      <c r="I290" s="310"/>
    </row>
    <row r="291">
      <c r="A291" s="263"/>
      <c r="B291" s="263"/>
      <c r="C291" s="263"/>
      <c r="F291" s="264"/>
      <c r="G291" s="294"/>
      <c r="H291" s="294"/>
      <c r="I291" s="310"/>
    </row>
    <row r="292">
      <c r="A292" s="263"/>
      <c r="B292" s="263"/>
      <c r="C292" s="263"/>
      <c r="F292" s="264"/>
      <c r="G292" s="294"/>
      <c r="H292" s="294"/>
      <c r="I292" s="310"/>
    </row>
    <row r="293">
      <c r="A293" s="263"/>
      <c r="B293" s="263"/>
      <c r="C293" s="263"/>
      <c r="F293" s="264"/>
      <c r="G293" s="294"/>
      <c r="H293" s="294"/>
      <c r="I293" s="310"/>
    </row>
    <row r="294">
      <c r="A294" s="263"/>
      <c r="B294" s="263"/>
      <c r="C294" s="263"/>
      <c r="F294" s="264"/>
      <c r="G294" s="294"/>
      <c r="H294" s="294"/>
      <c r="I294" s="310"/>
    </row>
    <row r="295">
      <c r="A295" s="263"/>
      <c r="B295" s="263"/>
      <c r="C295" s="263"/>
      <c r="F295" s="264"/>
      <c r="G295" s="294"/>
      <c r="H295" s="294"/>
      <c r="I295" s="310"/>
    </row>
    <row r="296">
      <c r="A296" s="263"/>
      <c r="B296" s="263"/>
      <c r="C296" s="263"/>
      <c r="F296" s="264"/>
      <c r="G296" s="294"/>
      <c r="H296" s="294"/>
      <c r="I296" s="310"/>
    </row>
    <row r="297">
      <c r="A297" s="263"/>
      <c r="B297" s="263"/>
      <c r="C297" s="263"/>
      <c r="F297" s="264"/>
      <c r="G297" s="294"/>
      <c r="H297" s="294"/>
      <c r="I297" s="310"/>
    </row>
    <row r="298">
      <c r="A298" s="263"/>
      <c r="B298" s="263"/>
      <c r="C298" s="263"/>
      <c r="F298" s="264"/>
      <c r="G298" s="294"/>
      <c r="H298" s="294"/>
      <c r="I298" s="310"/>
    </row>
    <row r="299">
      <c r="A299" s="263"/>
      <c r="B299" s="263"/>
      <c r="C299" s="263"/>
      <c r="F299" s="264"/>
      <c r="G299" s="294"/>
      <c r="H299" s="294"/>
      <c r="I299" s="310"/>
    </row>
    <row r="300">
      <c r="A300" s="263"/>
      <c r="B300" s="263"/>
      <c r="C300" s="263"/>
      <c r="F300" s="264"/>
      <c r="G300" s="294"/>
      <c r="H300" s="294"/>
      <c r="I300" s="310"/>
    </row>
    <row r="301">
      <c r="A301" s="263"/>
      <c r="B301" s="263"/>
      <c r="C301" s="263"/>
      <c r="F301" s="264"/>
      <c r="G301" s="294"/>
      <c r="H301" s="294"/>
      <c r="I301" s="310"/>
    </row>
    <row r="302">
      <c r="A302" s="263"/>
      <c r="B302" s="263"/>
      <c r="C302" s="263"/>
      <c r="F302" s="264"/>
      <c r="G302" s="294"/>
      <c r="H302" s="294"/>
      <c r="I302" s="310"/>
    </row>
    <row r="303">
      <c r="A303" s="263"/>
      <c r="B303" s="263"/>
      <c r="C303" s="263"/>
      <c r="F303" s="264"/>
      <c r="G303" s="294"/>
      <c r="H303" s="294"/>
      <c r="I303" s="310"/>
    </row>
    <row r="304">
      <c r="A304" s="263"/>
      <c r="B304" s="263"/>
      <c r="C304" s="263"/>
      <c r="F304" s="264"/>
      <c r="G304" s="294"/>
      <c r="H304" s="294"/>
      <c r="I304" s="310"/>
    </row>
    <row r="305">
      <c r="A305" s="263"/>
      <c r="B305" s="263"/>
      <c r="C305" s="263"/>
      <c r="F305" s="264"/>
      <c r="G305" s="294"/>
      <c r="H305" s="294"/>
      <c r="I305" s="310"/>
    </row>
    <row r="306">
      <c r="A306" s="263"/>
      <c r="B306" s="263"/>
      <c r="C306" s="263"/>
      <c r="F306" s="264"/>
      <c r="G306" s="294"/>
      <c r="H306" s="294"/>
      <c r="I306" s="310"/>
    </row>
    <row r="307">
      <c r="A307" s="263"/>
      <c r="B307" s="263"/>
      <c r="C307" s="263"/>
      <c r="F307" s="264"/>
      <c r="G307" s="294"/>
      <c r="H307" s="294"/>
      <c r="I307" s="310"/>
    </row>
    <row r="308">
      <c r="A308" s="263"/>
      <c r="B308" s="263"/>
      <c r="C308" s="263"/>
      <c r="F308" s="264"/>
      <c r="G308" s="294"/>
      <c r="H308" s="294"/>
      <c r="I308" s="310"/>
    </row>
    <row r="309">
      <c r="A309" s="263"/>
      <c r="B309" s="263"/>
      <c r="C309" s="263"/>
      <c r="F309" s="264"/>
      <c r="G309" s="294"/>
      <c r="H309" s="294"/>
      <c r="I309" s="310"/>
    </row>
    <row r="310">
      <c r="A310" s="263"/>
      <c r="B310" s="263"/>
      <c r="C310" s="263"/>
      <c r="F310" s="264"/>
      <c r="G310" s="294"/>
      <c r="H310" s="294"/>
      <c r="I310" s="310"/>
    </row>
    <row r="311">
      <c r="A311" s="263"/>
      <c r="B311" s="263"/>
      <c r="C311" s="263"/>
      <c r="F311" s="264"/>
      <c r="G311" s="294"/>
      <c r="H311" s="294"/>
      <c r="I311" s="310"/>
    </row>
    <row r="312">
      <c r="A312" s="263"/>
      <c r="B312" s="263"/>
      <c r="C312" s="263"/>
      <c r="F312" s="264"/>
      <c r="G312" s="294"/>
      <c r="H312" s="294"/>
      <c r="I312" s="310"/>
    </row>
    <row r="313">
      <c r="A313" s="263"/>
      <c r="B313" s="263"/>
      <c r="C313" s="263"/>
      <c r="F313" s="264"/>
      <c r="G313" s="294"/>
      <c r="H313" s="294"/>
      <c r="I313" s="310"/>
    </row>
    <row r="314">
      <c r="A314" s="263"/>
      <c r="B314" s="263"/>
      <c r="C314" s="263"/>
      <c r="F314" s="264"/>
      <c r="G314" s="294"/>
      <c r="H314" s="294"/>
      <c r="I314" s="310"/>
    </row>
    <row r="315">
      <c r="A315" s="263"/>
      <c r="B315" s="263"/>
      <c r="C315" s="263"/>
      <c r="F315" s="264"/>
      <c r="G315" s="294"/>
      <c r="H315" s="294"/>
      <c r="I315" s="310"/>
    </row>
    <row r="316">
      <c r="A316" s="263"/>
      <c r="B316" s="263"/>
      <c r="C316" s="263"/>
      <c r="F316" s="264"/>
      <c r="G316" s="294"/>
      <c r="H316" s="294"/>
      <c r="I316" s="310"/>
    </row>
    <row r="317">
      <c r="A317" s="263"/>
      <c r="B317" s="263"/>
      <c r="C317" s="263"/>
      <c r="F317" s="264"/>
      <c r="G317" s="294"/>
      <c r="H317" s="294"/>
      <c r="I317" s="310"/>
    </row>
    <row r="318">
      <c r="A318" s="263"/>
      <c r="B318" s="263"/>
      <c r="C318" s="263"/>
      <c r="F318" s="264"/>
      <c r="G318" s="294"/>
      <c r="H318" s="294"/>
      <c r="I318" s="310"/>
    </row>
    <row r="319">
      <c r="A319" s="263"/>
      <c r="B319" s="263"/>
      <c r="C319" s="263"/>
      <c r="F319" s="264"/>
      <c r="G319" s="294"/>
      <c r="H319" s="294"/>
      <c r="I319" s="310"/>
    </row>
    <row r="320">
      <c r="A320" s="263"/>
      <c r="B320" s="263"/>
      <c r="C320" s="263"/>
      <c r="F320" s="264"/>
      <c r="G320" s="294"/>
      <c r="H320" s="294"/>
      <c r="I320" s="310"/>
    </row>
    <row r="321">
      <c r="A321" s="263"/>
      <c r="B321" s="263"/>
      <c r="C321" s="263"/>
      <c r="F321" s="264"/>
      <c r="G321" s="294"/>
      <c r="H321" s="294"/>
      <c r="I321" s="310"/>
    </row>
    <row r="322">
      <c r="A322" s="263"/>
      <c r="B322" s="263"/>
      <c r="C322" s="263"/>
      <c r="F322" s="264"/>
      <c r="G322" s="294"/>
      <c r="H322" s="294"/>
      <c r="I322" s="310"/>
    </row>
    <row r="323">
      <c r="A323" s="263"/>
      <c r="B323" s="263"/>
      <c r="C323" s="263"/>
      <c r="F323" s="264"/>
      <c r="G323" s="294"/>
      <c r="H323" s="294"/>
      <c r="I323" s="310"/>
    </row>
    <row r="324">
      <c r="A324" s="263"/>
      <c r="B324" s="263"/>
      <c r="C324" s="263"/>
      <c r="F324" s="264"/>
      <c r="G324" s="294"/>
      <c r="H324" s="294"/>
      <c r="I324" s="310"/>
    </row>
    <row r="325">
      <c r="A325" s="263"/>
      <c r="B325" s="263"/>
      <c r="C325" s="263"/>
      <c r="F325" s="264"/>
      <c r="G325" s="294"/>
      <c r="H325" s="294"/>
      <c r="I325" s="310"/>
    </row>
    <row r="326">
      <c r="A326" s="263"/>
      <c r="B326" s="263"/>
      <c r="C326" s="263"/>
      <c r="F326" s="264"/>
      <c r="G326" s="294"/>
      <c r="H326" s="294"/>
      <c r="I326" s="310"/>
    </row>
    <row r="327">
      <c r="A327" s="263"/>
      <c r="B327" s="263"/>
      <c r="C327" s="263"/>
      <c r="F327" s="264"/>
      <c r="G327" s="294"/>
      <c r="H327" s="294"/>
      <c r="I327" s="310"/>
    </row>
    <row r="328">
      <c r="A328" s="263"/>
      <c r="B328" s="263"/>
      <c r="C328" s="263"/>
      <c r="F328" s="264"/>
      <c r="G328" s="294"/>
      <c r="H328" s="294"/>
      <c r="I328" s="310"/>
    </row>
    <row r="329">
      <c r="A329" s="263"/>
      <c r="B329" s="263"/>
      <c r="C329" s="263"/>
      <c r="F329" s="264"/>
      <c r="G329" s="294"/>
      <c r="H329" s="294"/>
      <c r="I329" s="310"/>
    </row>
    <row r="330">
      <c r="A330" s="263"/>
      <c r="B330" s="263"/>
      <c r="C330" s="263"/>
      <c r="F330" s="264"/>
      <c r="G330" s="294"/>
      <c r="H330" s="294"/>
      <c r="I330" s="310"/>
    </row>
    <row r="331">
      <c r="A331" s="263"/>
      <c r="B331" s="263"/>
      <c r="C331" s="263"/>
      <c r="F331" s="264"/>
      <c r="G331" s="294"/>
      <c r="H331" s="294"/>
      <c r="I331" s="310"/>
    </row>
    <row r="332">
      <c r="A332" s="263"/>
      <c r="B332" s="263"/>
      <c r="C332" s="263"/>
      <c r="F332" s="264"/>
      <c r="G332" s="294"/>
      <c r="H332" s="294"/>
      <c r="I332" s="310"/>
    </row>
    <row r="333">
      <c r="A333" s="263"/>
      <c r="B333" s="263"/>
      <c r="C333" s="263"/>
      <c r="F333" s="264"/>
      <c r="G333" s="294"/>
      <c r="H333" s="294"/>
      <c r="I333" s="310"/>
    </row>
    <row r="334">
      <c r="A334" s="263"/>
      <c r="B334" s="263"/>
      <c r="C334" s="263"/>
      <c r="F334" s="264"/>
      <c r="G334" s="294"/>
      <c r="H334" s="294"/>
      <c r="I334" s="310"/>
    </row>
    <row r="335">
      <c r="A335" s="263"/>
      <c r="B335" s="263"/>
      <c r="C335" s="263"/>
      <c r="F335" s="264"/>
      <c r="G335" s="294"/>
      <c r="H335" s="294"/>
      <c r="I335" s="310"/>
    </row>
    <row r="336">
      <c r="A336" s="263"/>
      <c r="B336" s="263"/>
      <c r="C336" s="263"/>
      <c r="F336" s="264"/>
      <c r="G336" s="294"/>
      <c r="H336" s="294"/>
      <c r="I336" s="310"/>
    </row>
    <row r="337">
      <c r="A337" s="263"/>
      <c r="B337" s="263"/>
      <c r="C337" s="263"/>
      <c r="F337" s="264"/>
      <c r="G337" s="294"/>
      <c r="H337" s="294"/>
      <c r="I337" s="310"/>
    </row>
    <row r="338">
      <c r="A338" s="263"/>
      <c r="B338" s="263"/>
      <c r="C338" s="263"/>
      <c r="F338" s="264"/>
      <c r="G338" s="294"/>
      <c r="H338" s="294"/>
      <c r="I338" s="310"/>
    </row>
    <row r="339">
      <c r="A339" s="263"/>
      <c r="B339" s="263"/>
      <c r="C339" s="263"/>
      <c r="F339" s="264"/>
      <c r="G339" s="294"/>
      <c r="H339" s="294"/>
      <c r="I339" s="310"/>
    </row>
    <row r="340">
      <c r="A340" s="263"/>
      <c r="B340" s="263"/>
      <c r="C340" s="263"/>
      <c r="F340" s="264"/>
      <c r="G340" s="294"/>
      <c r="H340" s="294"/>
      <c r="I340" s="310"/>
    </row>
    <row r="341">
      <c r="A341" s="263"/>
      <c r="B341" s="263"/>
      <c r="C341" s="263"/>
      <c r="F341" s="264"/>
      <c r="G341" s="294"/>
      <c r="H341" s="294"/>
      <c r="I341" s="310"/>
    </row>
    <row r="342">
      <c r="A342" s="263"/>
      <c r="B342" s="263"/>
      <c r="C342" s="263"/>
      <c r="F342" s="264"/>
      <c r="G342" s="294"/>
      <c r="H342" s="294"/>
      <c r="I342" s="310"/>
    </row>
    <row r="343">
      <c r="A343" s="263"/>
      <c r="B343" s="263"/>
      <c r="C343" s="263"/>
      <c r="F343" s="264"/>
      <c r="G343" s="294"/>
      <c r="H343" s="294"/>
      <c r="I343" s="310"/>
    </row>
    <row r="344">
      <c r="A344" s="263"/>
      <c r="B344" s="263"/>
      <c r="C344" s="263"/>
      <c r="F344" s="264"/>
      <c r="G344" s="294"/>
      <c r="H344" s="294"/>
      <c r="I344" s="310"/>
    </row>
    <row r="345">
      <c r="A345" s="263"/>
      <c r="B345" s="263"/>
      <c r="C345" s="263"/>
      <c r="F345" s="264"/>
      <c r="G345" s="294"/>
      <c r="H345" s="294"/>
      <c r="I345" s="310"/>
    </row>
    <row r="346">
      <c r="A346" s="263"/>
      <c r="B346" s="263"/>
      <c r="C346" s="263"/>
      <c r="F346" s="264"/>
      <c r="G346" s="294"/>
      <c r="H346" s="294"/>
      <c r="I346" s="310"/>
    </row>
    <row r="347">
      <c r="A347" s="263"/>
      <c r="B347" s="263"/>
      <c r="C347" s="263"/>
      <c r="F347" s="264"/>
      <c r="G347" s="294"/>
      <c r="H347" s="294"/>
      <c r="I347" s="310"/>
    </row>
    <row r="348">
      <c r="A348" s="263"/>
      <c r="B348" s="263"/>
      <c r="C348" s="263"/>
      <c r="F348" s="264"/>
      <c r="G348" s="294"/>
      <c r="H348" s="294"/>
      <c r="I348" s="310"/>
    </row>
    <row r="349">
      <c r="A349" s="263"/>
      <c r="B349" s="263"/>
      <c r="C349" s="263"/>
      <c r="F349" s="264"/>
      <c r="G349" s="294"/>
      <c r="H349" s="294"/>
      <c r="I349" s="310"/>
    </row>
    <row r="350">
      <c r="A350" s="263"/>
      <c r="B350" s="263"/>
      <c r="C350" s="263"/>
      <c r="F350" s="264"/>
      <c r="G350" s="294"/>
      <c r="H350" s="294"/>
      <c r="I350" s="310"/>
    </row>
    <row r="351">
      <c r="A351" s="263"/>
      <c r="B351" s="263"/>
      <c r="C351" s="263"/>
      <c r="F351" s="264"/>
      <c r="G351" s="294"/>
      <c r="H351" s="294"/>
      <c r="I351" s="310"/>
    </row>
    <row r="352">
      <c r="A352" s="263"/>
      <c r="B352" s="263"/>
      <c r="C352" s="263"/>
      <c r="F352" s="264"/>
      <c r="G352" s="294"/>
      <c r="H352" s="294"/>
      <c r="I352" s="310"/>
    </row>
    <row r="353">
      <c r="A353" s="263"/>
      <c r="B353" s="263"/>
      <c r="C353" s="263"/>
      <c r="F353" s="264"/>
      <c r="G353" s="294"/>
      <c r="H353" s="294"/>
      <c r="I353" s="310"/>
    </row>
    <row r="354">
      <c r="A354" s="263"/>
      <c r="B354" s="263"/>
      <c r="C354" s="263"/>
      <c r="F354" s="264"/>
      <c r="G354" s="294"/>
      <c r="H354" s="294"/>
      <c r="I354" s="310"/>
    </row>
    <row r="355">
      <c r="A355" s="263"/>
      <c r="B355" s="263"/>
      <c r="C355" s="263"/>
      <c r="F355" s="264"/>
      <c r="G355" s="294"/>
      <c r="H355" s="294"/>
      <c r="I355" s="310"/>
    </row>
    <row r="356">
      <c r="A356" s="263"/>
      <c r="B356" s="263"/>
      <c r="C356" s="263"/>
      <c r="F356" s="264"/>
      <c r="G356" s="294"/>
      <c r="H356" s="294"/>
      <c r="I356" s="310"/>
    </row>
    <row r="357">
      <c r="A357" s="263"/>
      <c r="B357" s="263"/>
      <c r="C357" s="263"/>
      <c r="F357" s="264"/>
      <c r="G357" s="294"/>
      <c r="H357" s="294"/>
      <c r="I357" s="310"/>
    </row>
    <row r="358">
      <c r="A358" s="263"/>
      <c r="B358" s="263"/>
      <c r="C358" s="263"/>
      <c r="F358" s="264"/>
      <c r="G358" s="294"/>
      <c r="H358" s="294"/>
      <c r="I358" s="310"/>
    </row>
    <row r="359">
      <c r="A359" s="263"/>
      <c r="B359" s="263"/>
      <c r="C359" s="263"/>
      <c r="F359" s="264"/>
      <c r="G359" s="294"/>
      <c r="H359" s="294"/>
      <c r="I359" s="310"/>
    </row>
    <row r="360">
      <c r="A360" s="263"/>
      <c r="B360" s="263"/>
      <c r="C360" s="263"/>
      <c r="F360" s="264"/>
      <c r="G360" s="294"/>
      <c r="H360" s="294"/>
      <c r="I360" s="310"/>
    </row>
    <row r="361">
      <c r="A361" s="263"/>
      <c r="B361" s="263"/>
      <c r="C361" s="263"/>
      <c r="F361" s="264"/>
      <c r="G361" s="294"/>
      <c r="H361" s="294"/>
      <c r="I361" s="310"/>
    </row>
    <row r="362">
      <c r="A362" s="263"/>
      <c r="B362" s="263"/>
      <c r="C362" s="263"/>
      <c r="F362" s="264"/>
      <c r="G362" s="294"/>
      <c r="H362" s="294"/>
      <c r="I362" s="310"/>
    </row>
    <row r="363">
      <c r="A363" s="263"/>
      <c r="B363" s="263"/>
      <c r="C363" s="263"/>
      <c r="F363" s="264"/>
      <c r="G363" s="294"/>
      <c r="H363" s="294"/>
      <c r="I363" s="310"/>
    </row>
    <row r="364">
      <c r="A364" s="263"/>
      <c r="B364" s="263"/>
      <c r="C364" s="263"/>
      <c r="F364" s="264"/>
      <c r="G364" s="294"/>
      <c r="H364" s="294"/>
      <c r="I364" s="310"/>
    </row>
    <row r="365">
      <c r="A365" s="263"/>
      <c r="B365" s="263"/>
      <c r="C365" s="263"/>
      <c r="F365" s="264"/>
      <c r="G365" s="294"/>
      <c r="H365" s="294"/>
      <c r="I365" s="310"/>
    </row>
    <row r="366">
      <c r="A366" s="263"/>
      <c r="B366" s="263"/>
      <c r="C366" s="263"/>
      <c r="F366" s="264"/>
      <c r="G366" s="294"/>
      <c r="H366" s="294"/>
      <c r="I366" s="310"/>
    </row>
    <row r="367">
      <c r="A367" s="263"/>
      <c r="B367" s="263"/>
      <c r="C367" s="263"/>
      <c r="F367" s="264"/>
      <c r="G367" s="294"/>
      <c r="H367" s="294"/>
      <c r="I367" s="310"/>
    </row>
    <row r="368">
      <c r="A368" s="263"/>
      <c r="B368" s="263"/>
      <c r="C368" s="263"/>
      <c r="F368" s="264"/>
      <c r="G368" s="294"/>
      <c r="H368" s="294"/>
      <c r="I368" s="310"/>
    </row>
    <row r="369">
      <c r="A369" s="263"/>
      <c r="B369" s="263"/>
      <c r="C369" s="263"/>
      <c r="F369" s="264"/>
      <c r="G369" s="294"/>
      <c r="H369" s="294"/>
      <c r="I369" s="310"/>
    </row>
    <row r="370">
      <c r="A370" s="263"/>
      <c r="B370" s="263"/>
      <c r="C370" s="263"/>
      <c r="F370" s="264"/>
      <c r="G370" s="294"/>
      <c r="H370" s="294"/>
      <c r="I370" s="310"/>
    </row>
    <row r="371">
      <c r="A371" s="263"/>
      <c r="B371" s="263"/>
      <c r="C371" s="263"/>
      <c r="F371" s="264"/>
      <c r="G371" s="294"/>
      <c r="H371" s="294"/>
      <c r="I371" s="310"/>
    </row>
    <row r="372">
      <c r="A372" s="263"/>
      <c r="B372" s="263"/>
      <c r="C372" s="263"/>
      <c r="F372" s="264"/>
      <c r="G372" s="294"/>
      <c r="H372" s="294"/>
      <c r="I372" s="310"/>
    </row>
    <row r="373">
      <c r="A373" s="263"/>
      <c r="B373" s="263"/>
      <c r="C373" s="263"/>
      <c r="F373" s="264"/>
      <c r="G373" s="294"/>
      <c r="H373" s="294"/>
      <c r="I373" s="310"/>
    </row>
    <row r="374">
      <c r="A374" s="263"/>
      <c r="B374" s="263"/>
      <c r="C374" s="263"/>
      <c r="F374" s="264"/>
      <c r="G374" s="294"/>
      <c r="H374" s="294"/>
      <c r="I374" s="310"/>
    </row>
    <row r="375">
      <c r="A375" s="263"/>
      <c r="B375" s="263"/>
      <c r="C375" s="263"/>
      <c r="F375" s="264"/>
      <c r="G375" s="294"/>
      <c r="H375" s="294"/>
      <c r="I375" s="310"/>
    </row>
    <row r="376">
      <c r="A376" s="263"/>
      <c r="B376" s="263"/>
      <c r="C376" s="263"/>
      <c r="F376" s="264"/>
      <c r="G376" s="294"/>
      <c r="H376" s="294"/>
      <c r="I376" s="310"/>
    </row>
    <row r="377">
      <c r="A377" s="263"/>
      <c r="B377" s="263"/>
      <c r="C377" s="263"/>
      <c r="F377" s="264"/>
      <c r="G377" s="294"/>
      <c r="H377" s="294"/>
      <c r="I377" s="310"/>
    </row>
    <row r="378">
      <c r="A378" s="263"/>
      <c r="B378" s="263"/>
      <c r="C378" s="263"/>
      <c r="F378" s="264"/>
      <c r="G378" s="294"/>
      <c r="H378" s="294"/>
      <c r="I378" s="310"/>
    </row>
    <row r="379">
      <c r="A379" s="263"/>
      <c r="B379" s="263"/>
      <c r="C379" s="263"/>
      <c r="F379" s="264"/>
      <c r="G379" s="294"/>
      <c r="H379" s="294"/>
      <c r="I379" s="310"/>
    </row>
    <row r="380">
      <c r="A380" s="263"/>
      <c r="B380" s="263"/>
      <c r="C380" s="263"/>
      <c r="F380" s="264"/>
      <c r="G380" s="294"/>
      <c r="H380" s="294"/>
      <c r="I380" s="310"/>
    </row>
    <row r="381">
      <c r="A381" s="263"/>
      <c r="B381" s="263"/>
      <c r="C381" s="263"/>
      <c r="F381" s="264"/>
      <c r="G381" s="294"/>
      <c r="H381" s="294"/>
      <c r="I381" s="310"/>
    </row>
    <row r="382">
      <c r="A382" s="263"/>
      <c r="B382" s="263"/>
      <c r="C382" s="263"/>
      <c r="F382" s="264"/>
      <c r="G382" s="294"/>
      <c r="H382" s="294"/>
      <c r="I382" s="310"/>
    </row>
    <row r="383">
      <c r="A383" s="263"/>
      <c r="B383" s="263"/>
      <c r="C383" s="263"/>
      <c r="F383" s="264"/>
      <c r="G383" s="294"/>
      <c r="H383" s="294"/>
      <c r="I383" s="310"/>
    </row>
    <row r="384">
      <c r="A384" s="263"/>
      <c r="B384" s="263"/>
      <c r="C384" s="263"/>
      <c r="F384" s="264"/>
      <c r="G384" s="294"/>
      <c r="H384" s="294"/>
      <c r="I384" s="310"/>
    </row>
    <row r="385">
      <c r="A385" s="263"/>
      <c r="B385" s="263"/>
      <c r="C385" s="263"/>
      <c r="F385" s="264"/>
      <c r="G385" s="294"/>
      <c r="H385" s="294"/>
      <c r="I385" s="310"/>
    </row>
    <row r="386">
      <c r="A386" s="263"/>
      <c r="B386" s="263"/>
      <c r="C386" s="263"/>
      <c r="F386" s="264"/>
      <c r="G386" s="294"/>
      <c r="H386" s="294"/>
      <c r="I386" s="310"/>
    </row>
    <row r="387">
      <c r="A387" s="263"/>
      <c r="B387" s="263"/>
      <c r="C387" s="263"/>
      <c r="F387" s="264"/>
      <c r="G387" s="294"/>
      <c r="H387" s="294"/>
      <c r="I387" s="310"/>
    </row>
    <row r="388">
      <c r="A388" s="263"/>
      <c r="B388" s="263"/>
      <c r="C388" s="263"/>
      <c r="F388" s="264"/>
      <c r="G388" s="294"/>
      <c r="H388" s="294"/>
      <c r="I388" s="310"/>
    </row>
    <row r="389">
      <c r="A389" s="263"/>
      <c r="B389" s="263"/>
      <c r="C389" s="263"/>
      <c r="F389" s="264"/>
      <c r="G389" s="294"/>
      <c r="H389" s="294"/>
      <c r="I389" s="310"/>
    </row>
    <row r="390">
      <c r="A390" s="263"/>
      <c r="B390" s="263"/>
      <c r="C390" s="263"/>
      <c r="F390" s="264"/>
      <c r="G390" s="294"/>
      <c r="H390" s="294"/>
      <c r="I390" s="310"/>
    </row>
    <row r="391">
      <c r="A391" s="263"/>
      <c r="B391" s="263"/>
      <c r="C391" s="263"/>
      <c r="F391" s="264"/>
      <c r="G391" s="294"/>
      <c r="H391" s="294"/>
      <c r="I391" s="310"/>
    </row>
    <row r="392">
      <c r="A392" s="263"/>
      <c r="B392" s="263"/>
      <c r="C392" s="263"/>
      <c r="F392" s="264"/>
      <c r="G392" s="294"/>
      <c r="H392" s="294"/>
      <c r="I392" s="310"/>
    </row>
    <row r="393">
      <c r="A393" s="263"/>
      <c r="B393" s="263"/>
      <c r="C393" s="263"/>
      <c r="F393" s="264"/>
      <c r="G393" s="294"/>
      <c r="H393" s="294"/>
      <c r="I393" s="310"/>
    </row>
    <row r="394">
      <c r="A394" s="263"/>
      <c r="B394" s="263"/>
      <c r="C394" s="263"/>
      <c r="F394" s="264"/>
      <c r="G394" s="294"/>
      <c r="H394" s="294"/>
      <c r="I394" s="310"/>
    </row>
    <row r="395">
      <c r="A395" s="263"/>
      <c r="B395" s="263"/>
      <c r="C395" s="263"/>
      <c r="F395" s="264"/>
      <c r="G395" s="294"/>
      <c r="H395" s="294"/>
      <c r="I395" s="310"/>
    </row>
    <row r="396">
      <c r="A396" s="263"/>
      <c r="B396" s="263"/>
      <c r="C396" s="263"/>
      <c r="F396" s="264"/>
      <c r="G396" s="294"/>
      <c r="H396" s="294"/>
      <c r="I396" s="310"/>
    </row>
    <row r="397">
      <c r="A397" s="263"/>
      <c r="B397" s="263"/>
      <c r="C397" s="263"/>
      <c r="F397" s="264"/>
      <c r="G397" s="294"/>
      <c r="H397" s="294"/>
      <c r="I397" s="310"/>
    </row>
    <row r="398">
      <c r="A398" s="263"/>
      <c r="B398" s="263"/>
      <c r="C398" s="263"/>
      <c r="F398" s="264"/>
      <c r="G398" s="294"/>
      <c r="H398" s="294"/>
      <c r="I398" s="310"/>
    </row>
    <row r="399">
      <c r="A399" s="263"/>
      <c r="B399" s="263"/>
      <c r="C399" s="263"/>
      <c r="F399" s="264"/>
      <c r="G399" s="294"/>
      <c r="H399" s="294"/>
      <c r="I399" s="310"/>
    </row>
    <row r="400">
      <c r="A400" s="263"/>
      <c r="B400" s="263"/>
      <c r="C400" s="263"/>
      <c r="F400" s="264"/>
      <c r="G400" s="294"/>
      <c r="H400" s="294"/>
      <c r="I400" s="310"/>
    </row>
    <row r="401">
      <c r="A401" s="263"/>
      <c r="B401" s="263"/>
      <c r="C401" s="263"/>
      <c r="F401" s="264"/>
      <c r="G401" s="294"/>
      <c r="H401" s="294"/>
      <c r="I401" s="310"/>
    </row>
    <row r="402">
      <c r="A402" s="263"/>
      <c r="B402" s="263"/>
      <c r="C402" s="263"/>
      <c r="F402" s="264"/>
      <c r="G402" s="294"/>
      <c r="H402" s="294"/>
      <c r="I402" s="310"/>
    </row>
    <row r="403">
      <c r="A403" s="263"/>
      <c r="B403" s="263"/>
      <c r="C403" s="263"/>
      <c r="F403" s="264"/>
      <c r="G403" s="294"/>
      <c r="H403" s="294"/>
      <c r="I403" s="310"/>
    </row>
    <row r="404">
      <c r="A404" s="263"/>
      <c r="B404" s="263"/>
      <c r="C404" s="263"/>
      <c r="F404" s="264"/>
      <c r="G404" s="294"/>
      <c r="H404" s="294"/>
      <c r="I404" s="310"/>
    </row>
    <row r="405">
      <c r="A405" s="263"/>
      <c r="B405" s="263"/>
      <c r="C405" s="263"/>
      <c r="F405" s="264"/>
      <c r="G405" s="294"/>
      <c r="H405" s="294"/>
      <c r="I405" s="310"/>
    </row>
    <row r="406">
      <c r="A406" s="263"/>
      <c r="B406" s="263"/>
      <c r="C406" s="263"/>
      <c r="F406" s="264"/>
      <c r="G406" s="294"/>
      <c r="H406" s="294"/>
      <c r="I406" s="310"/>
    </row>
    <row r="407">
      <c r="A407" s="263"/>
      <c r="B407" s="263"/>
      <c r="C407" s="263"/>
      <c r="F407" s="264"/>
      <c r="G407" s="294"/>
      <c r="H407" s="294"/>
      <c r="I407" s="310"/>
    </row>
    <row r="408">
      <c r="A408" s="263"/>
      <c r="B408" s="263"/>
      <c r="C408" s="263"/>
      <c r="F408" s="264"/>
      <c r="G408" s="294"/>
      <c r="H408" s="294"/>
      <c r="I408" s="310"/>
    </row>
    <row r="409">
      <c r="A409" s="263"/>
      <c r="B409" s="263"/>
      <c r="C409" s="263"/>
      <c r="F409" s="264"/>
      <c r="G409" s="294"/>
      <c r="H409" s="294"/>
      <c r="I409" s="310"/>
    </row>
    <row r="410">
      <c r="A410" s="263"/>
      <c r="B410" s="263"/>
      <c r="C410" s="263"/>
      <c r="F410" s="264"/>
      <c r="G410" s="294"/>
      <c r="H410" s="294"/>
      <c r="I410" s="310"/>
    </row>
    <row r="411">
      <c r="A411" s="263"/>
      <c r="B411" s="263"/>
      <c r="C411" s="263"/>
      <c r="F411" s="264"/>
      <c r="G411" s="294"/>
      <c r="H411" s="294"/>
      <c r="I411" s="310"/>
    </row>
    <row r="412">
      <c r="A412" s="263"/>
      <c r="B412" s="263"/>
      <c r="C412" s="263"/>
      <c r="F412" s="264"/>
      <c r="G412" s="294"/>
      <c r="H412" s="294"/>
      <c r="I412" s="310"/>
    </row>
    <row r="413">
      <c r="A413" s="263"/>
      <c r="B413" s="263"/>
      <c r="C413" s="263"/>
      <c r="F413" s="264"/>
      <c r="G413" s="294"/>
      <c r="H413" s="294"/>
      <c r="I413" s="310"/>
    </row>
    <row r="414">
      <c r="A414" s="263"/>
      <c r="B414" s="263"/>
      <c r="C414" s="263"/>
      <c r="F414" s="264"/>
      <c r="G414" s="294"/>
      <c r="H414" s="294"/>
      <c r="I414" s="310"/>
    </row>
    <row r="415">
      <c r="A415" s="263"/>
      <c r="B415" s="263"/>
      <c r="C415" s="263"/>
      <c r="F415" s="264"/>
      <c r="G415" s="294"/>
      <c r="H415" s="294"/>
      <c r="I415" s="310"/>
    </row>
    <row r="416">
      <c r="A416" s="263"/>
      <c r="B416" s="263"/>
      <c r="C416" s="263"/>
      <c r="F416" s="264"/>
      <c r="G416" s="294"/>
      <c r="H416" s="294"/>
      <c r="I416" s="310"/>
    </row>
    <row r="417">
      <c r="A417" s="263"/>
      <c r="B417" s="263"/>
      <c r="C417" s="263"/>
      <c r="F417" s="264"/>
      <c r="G417" s="294"/>
      <c r="H417" s="294"/>
      <c r="I417" s="310"/>
    </row>
    <row r="418">
      <c r="A418" s="263"/>
      <c r="B418" s="263"/>
      <c r="C418" s="263"/>
      <c r="F418" s="264"/>
      <c r="G418" s="294"/>
      <c r="H418" s="294"/>
      <c r="I418" s="310"/>
    </row>
    <row r="419">
      <c r="A419" s="263"/>
      <c r="B419" s="263"/>
      <c r="C419" s="263"/>
      <c r="F419" s="264"/>
      <c r="G419" s="294"/>
      <c r="H419" s="294"/>
      <c r="I419" s="310"/>
    </row>
    <row r="420">
      <c r="A420" s="263"/>
      <c r="B420" s="263"/>
      <c r="C420" s="263"/>
      <c r="F420" s="264"/>
      <c r="G420" s="294"/>
      <c r="H420" s="294"/>
      <c r="I420" s="310"/>
    </row>
    <row r="421">
      <c r="A421" s="263"/>
      <c r="B421" s="263"/>
      <c r="C421" s="263"/>
      <c r="F421" s="264"/>
      <c r="G421" s="294"/>
      <c r="H421" s="294"/>
      <c r="I421" s="310"/>
    </row>
    <row r="422">
      <c r="A422" s="263"/>
      <c r="B422" s="263"/>
      <c r="C422" s="263"/>
      <c r="F422" s="264"/>
      <c r="G422" s="294"/>
      <c r="H422" s="294"/>
      <c r="I422" s="310"/>
    </row>
    <row r="423">
      <c r="A423" s="263"/>
      <c r="B423" s="263"/>
      <c r="C423" s="263"/>
      <c r="F423" s="264"/>
      <c r="G423" s="294"/>
      <c r="H423" s="294"/>
      <c r="I423" s="310"/>
    </row>
    <row r="424">
      <c r="A424" s="263"/>
      <c r="B424" s="263"/>
      <c r="C424" s="263"/>
      <c r="F424" s="264"/>
      <c r="G424" s="294"/>
      <c r="H424" s="294"/>
      <c r="I424" s="310"/>
    </row>
    <row r="425">
      <c r="A425" s="263"/>
      <c r="B425" s="263"/>
      <c r="C425" s="263"/>
      <c r="F425" s="264"/>
      <c r="G425" s="294"/>
      <c r="H425" s="294"/>
      <c r="I425" s="310"/>
    </row>
    <row r="426">
      <c r="A426" s="263"/>
      <c r="B426" s="263"/>
      <c r="C426" s="263"/>
      <c r="F426" s="264"/>
      <c r="G426" s="294"/>
      <c r="H426" s="294"/>
      <c r="I426" s="310"/>
    </row>
    <row r="427">
      <c r="A427" s="263"/>
      <c r="B427" s="263"/>
      <c r="C427" s="263"/>
      <c r="F427" s="264"/>
      <c r="G427" s="294"/>
      <c r="H427" s="294"/>
      <c r="I427" s="310"/>
    </row>
    <row r="428">
      <c r="A428" s="263"/>
      <c r="B428" s="263"/>
      <c r="C428" s="263"/>
      <c r="F428" s="264"/>
      <c r="G428" s="294"/>
      <c r="H428" s="294"/>
      <c r="I428" s="310"/>
    </row>
    <row r="429">
      <c r="A429" s="263"/>
      <c r="B429" s="263"/>
      <c r="C429" s="263"/>
      <c r="F429" s="264"/>
      <c r="G429" s="294"/>
      <c r="H429" s="294"/>
      <c r="I429" s="310"/>
    </row>
    <row r="430">
      <c r="A430" s="263"/>
      <c r="B430" s="263"/>
      <c r="C430" s="263"/>
      <c r="F430" s="264"/>
      <c r="G430" s="294"/>
      <c r="H430" s="294"/>
      <c r="I430" s="310"/>
    </row>
    <row r="431">
      <c r="A431" s="263"/>
      <c r="B431" s="263"/>
      <c r="C431" s="263"/>
      <c r="F431" s="264"/>
      <c r="G431" s="294"/>
      <c r="H431" s="294"/>
      <c r="I431" s="310"/>
    </row>
    <row r="432">
      <c r="A432" s="263"/>
      <c r="B432" s="263"/>
      <c r="C432" s="263"/>
      <c r="F432" s="264"/>
      <c r="G432" s="294"/>
      <c r="H432" s="294"/>
      <c r="I432" s="310"/>
    </row>
    <row r="433">
      <c r="A433" s="263"/>
      <c r="B433" s="263"/>
      <c r="C433" s="263"/>
      <c r="F433" s="264"/>
      <c r="G433" s="294"/>
      <c r="H433" s="294"/>
      <c r="I433" s="310"/>
    </row>
    <row r="434">
      <c r="A434" s="263"/>
      <c r="B434" s="263"/>
      <c r="C434" s="263"/>
      <c r="F434" s="264"/>
      <c r="G434" s="294"/>
      <c r="H434" s="294"/>
      <c r="I434" s="310"/>
    </row>
    <row r="435">
      <c r="A435" s="263"/>
      <c r="B435" s="263"/>
      <c r="C435" s="263"/>
      <c r="F435" s="264"/>
      <c r="G435" s="294"/>
      <c r="H435" s="294"/>
      <c r="I435" s="310"/>
    </row>
    <row r="436">
      <c r="A436" s="263"/>
      <c r="B436" s="263"/>
      <c r="C436" s="263"/>
      <c r="F436" s="264"/>
      <c r="G436" s="294"/>
      <c r="H436" s="294"/>
      <c r="I436" s="310"/>
    </row>
    <row r="437">
      <c r="A437" s="263"/>
      <c r="B437" s="263"/>
      <c r="C437" s="263"/>
      <c r="F437" s="264"/>
      <c r="G437" s="294"/>
      <c r="H437" s="294"/>
      <c r="I437" s="310"/>
    </row>
    <row r="438">
      <c r="A438" s="263"/>
      <c r="B438" s="263"/>
      <c r="C438" s="263"/>
      <c r="F438" s="264"/>
      <c r="G438" s="294"/>
      <c r="H438" s="294"/>
      <c r="I438" s="310"/>
    </row>
    <row r="439">
      <c r="A439" s="263"/>
      <c r="B439" s="263"/>
      <c r="C439" s="263"/>
      <c r="F439" s="264"/>
      <c r="G439" s="294"/>
      <c r="H439" s="294"/>
      <c r="I439" s="310"/>
    </row>
    <row r="440">
      <c r="A440" s="263"/>
      <c r="B440" s="263"/>
      <c r="C440" s="263"/>
      <c r="F440" s="264"/>
      <c r="G440" s="294"/>
      <c r="H440" s="294"/>
      <c r="I440" s="310"/>
    </row>
    <row r="441">
      <c r="A441" s="263"/>
      <c r="B441" s="263"/>
      <c r="C441" s="263"/>
      <c r="F441" s="264"/>
      <c r="G441" s="294"/>
      <c r="H441" s="294"/>
      <c r="I441" s="310"/>
    </row>
    <row r="442">
      <c r="A442" s="263"/>
      <c r="B442" s="263"/>
      <c r="C442" s="263"/>
      <c r="F442" s="264"/>
      <c r="G442" s="294"/>
      <c r="H442" s="294"/>
      <c r="I442" s="310"/>
    </row>
    <row r="443">
      <c r="A443" s="263"/>
      <c r="B443" s="263"/>
      <c r="C443" s="263"/>
      <c r="F443" s="264"/>
      <c r="G443" s="294"/>
      <c r="H443" s="294"/>
      <c r="I443" s="310"/>
    </row>
    <row r="444">
      <c r="A444" s="263"/>
      <c r="B444" s="263"/>
      <c r="C444" s="263"/>
      <c r="F444" s="264"/>
      <c r="G444" s="294"/>
      <c r="H444" s="294"/>
      <c r="I444" s="310"/>
    </row>
    <row r="445">
      <c r="A445" s="263"/>
      <c r="B445" s="263"/>
      <c r="C445" s="263"/>
      <c r="F445" s="264"/>
      <c r="G445" s="294"/>
      <c r="H445" s="294"/>
      <c r="I445" s="310"/>
    </row>
    <row r="446">
      <c r="A446" s="263"/>
      <c r="B446" s="263"/>
      <c r="C446" s="263"/>
      <c r="F446" s="264"/>
      <c r="G446" s="294"/>
      <c r="H446" s="294"/>
      <c r="I446" s="310"/>
    </row>
    <row r="447">
      <c r="A447" s="263"/>
      <c r="B447" s="263"/>
      <c r="C447" s="263"/>
      <c r="F447" s="264"/>
      <c r="G447" s="294"/>
      <c r="H447" s="294"/>
      <c r="I447" s="310"/>
    </row>
    <row r="448">
      <c r="A448" s="263"/>
      <c r="B448" s="263"/>
      <c r="C448" s="263"/>
      <c r="F448" s="264"/>
      <c r="G448" s="294"/>
      <c r="H448" s="294"/>
      <c r="I448" s="310"/>
    </row>
    <row r="449">
      <c r="A449" s="263"/>
      <c r="B449" s="263"/>
      <c r="C449" s="263"/>
      <c r="F449" s="264"/>
      <c r="G449" s="294"/>
      <c r="H449" s="294"/>
      <c r="I449" s="310"/>
    </row>
    <row r="450">
      <c r="A450" s="263"/>
      <c r="B450" s="263"/>
      <c r="C450" s="263"/>
      <c r="F450" s="264"/>
      <c r="G450" s="294"/>
      <c r="H450" s="294"/>
      <c r="I450" s="310"/>
    </row>
    <row r="451">
      <c r="A451" s="263"/>
      <c r="B451" s="263"/>
      <c r="C451" s="263"/>
      <c r="F451" s="264"/>
      <c r="G451" s="294"/>
      <c r="H451" s="294"/>
      <c r="I451" s="310"/>
    </row>
    <row r="452">
      <c r="A452" s="263"/>
      <c r="B452" s="263"/>
      <c r="C452" s="263"/>
      <c r="F452" s="264"/>
      <c r="G452" s="294"/>
      <c r="H452" s="294"/>
      <c r="I452" s="310"/>
    </row>
    <row r="453">
      <c r="A453" s="263"/>
      <c r="B453" s="263"/>
      <c r="C453" s="263"/>
      <c r="F453" s="264"/>
      <c r="G453" s="294"/>
      <c r="H453" s="294"/>
      <c r="I453" s="310"/>
    </row>
    <row r="454">
      <c r="A454" s="263"/>
      <c r="B454" s="263"/>
      <c r="C454" s="263"/>
      <c r="F454" s="264"/>
      <c r="G454" s="294"/>
      <c r="H454" s="294"/>
      <c r="I454" s="310"/>
    </row>
    <row r="455">
      <c r="A455" s="263"/>
      <c r="B455" s="263"/>
      <c r="C455" s="263"/>
      <c r="F455" s="264"/>
      <c r="G455" s="294"/>
      <c r="H455" s="294"/>
      <c r="I455" s="310"/>
    </row>
    <row r="456">
      <c r="A456" s="263"/>
      <c r="B456" s="263"/>
      <c r="C456" s="263"/>
      <c r="F456" s="264"/>
      <c r="G456" s="294"/>
      <c r="H456" s="294"/>
      <c r="I456" s="310"/>
    </row>
    <row r="457">
      <c r="A457" s="263"/>
      <c r="B457" s="263"/>
      <c r="C457" s="263"/>
      <c r="F457" s="264"/>
      <c r="G457" s="294"/>
      <c r="H457" s="294"/>
      <c r="I457" s="310"/>
    </row>
    <row r="458">
      <c r="A458" s="263"/>
      <c r="B458" s="263"/>
      <c r="C458" s="263"/>
      <c r="F458" s="264"/>
      <c r="G458" s="294"/>
      <c r="H458" s="294"/>
      <c r="I458" s="310"/>
    </row>
    <row r="459">
      <c r="A459" s="263"/>
      <c r="B459" s="263"/>
      <c r="C459" s="263"/>
      <c r="F459" s="264"/>
      <c r="G459" s="294"/>
      <c r="H459" s="294"/>
      <c r="I459" s="310"/>
    </row>
    <row r="460">
      <c r="A460" s="263"/>
      <c r="B460" s="263"/>
      <c r="C460" s="263"/>
      <c r="F460" s="264"/>
      <c r="G460" s="294"/>
      <c r="H460" s="294"/>
      <c r="I460" s="310"/>
    </row>
    <row r="461">
      <c r="A461" s="263"/>
      <c r="B461" s="263"/>
      <c r="C461" s="263"/>
      <c r="F461" s="264"/>
      <c r="G461" s="294"/>
      <c r="H461" s="294"/>
      <c r="I461" s="310"/>
    </row>
    <row r="462">
      <c r="A462" s="263"/>
      <c r="B462" s="263"/>
      <c r="C462" s="263"/>
      <c r="F462" s="264"/>
      <c r="G462" s="294"/>
      <c r="H462" s="294"/>
      <c r="I462" s="310"/>
    </row>
    <row r="463">
      <c r="A463" s="263"/>
      <c r="B463" s="263"/>
      <c r="C463" s="263"/>
      <c r="F463" s="264"/>
      <c r="G463" s="294"/>
      <c r="H463" s="294"/>
      <c r="I463" s="310"/>
    </row>
    <row r="464">
      <c r="A464" s="263"/>
      <c r="B464" s="263"/>
      <c r="C464" s="263"/>
      <c r="F464" s="264"/>
      <c r="G464" s="294"/>
      <c r="H464" s="294"/>
      <c r="I464" s="310"/>
    </row>
    <row r="465">
      <c r="A465" s="263"/>
      <c r="B465" s="263"/>
      <c r="C465" s="263"/>
      <c r="F465" s="264"/>
      <c r="G465" s="294"/>
      <c r="H465" s="294"/>
      <c r="I465" s="310"/>
    </row>
    <row r="466">
      <c r="A466" s="263"/>
      <c r="B466" s="263"/>
      <c r="C466" s="263"/>
      <c r="F466" s="264"/>
      <c r="G466" s="294"/>
      <c r="H466" s="294"/>
      <c r="I466" s="310"/>
    </row>
    <row r="467">
      <c r="A467" s="263"/>
      <c r="B467" s="263"/>
      <c r="C467" s="263"/>
      <c r="F467" s="264"/>
      <c r="G467" s="294"/>
      <c r="H467" s="294"/>
      <c r="I467" s="310"/>
    </row>
    <row r="468">
      <c r="A468" s="263"/>
      <c r="B468" s="263"/>
      <c r="C468" s="263"/>
      <c r="F468" s="264"/>
      <c r="G468" s="294"/>
      <c r="H468" s="294"/>
      <c r="I468" s="310"/>
    </row>
    <row r="469">
      <c r="A469" s="263"/>
      <c r="B469" s="263"/>
      <c r="C469" s="263"/>
      <c r="F469" s="264"/>
      <c r="G469" s="294"/>
      <c r="H469" s="294"/>
      <c r="I469" s="310"/>
    </row>
    <row r="470">
      <c r="A470" s="263"/>
      <c r="B470" s="263"/>
      <c r="C470" s="263"/>
      <c r="F470" s="264"/>
      <c r="G470" s="294"/>
      <c r="H470" s="294"/>
      <c r="I470" s="310"/>
    </row>
    <row r="471">
      <c r="A471" s="263"/>
      <c r="B471" s="263"/>
      <c r="C471" s="263"/>
      <c r="F471" s="264"/>
      <c r="G471" s="294"/>
      <c r="H471" s="294"/>
      <c r="I471" s="310"/>
    </row>
    <row r="472">
      <c r="A472" s="263"/>
      <c r="B472" s="263"/>
      <c r="C472" s="263"/>
      <c r="F472" s="264"/>
      <c r="G472" s="294"/>
      <c r="H472" s="294"/>
      <c r="I472" s="310"/>
    </row>
    <row r="473">
      <c r="A473" s="263"/>
      <c r="B473" s="263"/>
      <c r="C473" s="263"/>
      <c r="F473" s="264"/>
      <c r="G473" s="294"/>
      <c r="H473" s="294"/>
      <c r="I473" s="310"/>
    </row>
    <row r="474">
      <c r="A474" s="263"/>
      <c r="B474" s="263"/>
      <c r="C474" s="263"/>
      <c r="F474" s="264"/>
      <c r="G474" s="294"/>
      <c r="H474" s="294"/>
      <c r="I474" s="310"/>
    </row>
    <row r="475">
      <c r="A475" s="263"/>
      <c r="B475" s="263"/>
      <c r="C475" s="263"/>
      <c r="F475" s="264"/>
      <c r="G475" s="294"/>
      <c r="H475" s="294"/>
      <c r="I475" s="310"/>
    </row>
    <row r="476">
      <c r="A476" s="263"/>
      <c r="B476" s="263"/>
      <c r="C476" s="263"/>
      <c r="F476" s="264"/>
      <c r="G476" s="294"/>
      <c r="H476" s="294"/>
      <c r="I476" s="310"/>
    </row>
    <row r="477">
      <c r="A477" s="263"/>
      <c r="B477" s="263"/>
      <c r="C477" s="263"/>
      <c r="F477" s="264"/>
      <c r="G477" s="294"/>
      <c r="H477" s="294"/>
      <c r="I477" s="310"/>
    </row>
    <row r="478">
      <c r="A478" s="263"/>
      <c r="B478" s="263"/>
      <c r="C478" s="263"/>
      <c r="F478" s="264"/>
      <c r="G478" s="294"/>
      <c r="H478" s="294"/>
      <c r="I478" s="310"/>
    </row>
    <row r="479">
      <c r="A479" s="263"/>
      <c r="B479" s="263"/>
      <c r="C479" s="263"/>
      <c r="F479" s="264"/>
      <c r="G479" s="294"/>
      <c r="H479" s="294"/>
      <c r="I479" s="310"/>
    </row>
    <row r="480">
      <c r="A480" s="263"/>
      <c r="B480" s="263"/>
      <c r="C480" s="263"/>
      <c r="F480" s="264"/>
      <c r="G480" s="294"/>
      <c r="H480" s="294"/>
      <c r="I480" s="310"/>
    </row>
    <row r="481">
      <c r="A481" s="263"/>
      <c r="B481" s="263"/>
      <c r="C481" s="263"/>
      <c r="F481" s="264"/>
      <c r="G481" s="294"/>
      <c r="H481" s="294"/>
      <c r="I481" s="310"/>
    </row>
    <row r="482">
      <c r="A482" s="263"/>
      <c r="B482" s="263"/>
      <c r="C482" s="263"/>
      <c r="F482" s="264"/>
      <c r="G482" s="294"/>
      <c r="H482" s="294"/>
      <c r="I482" s="310"/>
    </row>
    <row r="483">
      <c r="A483" s="263"/>
      <c r="B483" s="263"/>
      <c r="C483" s="263"/>
      <c r="F483" s="264"/>
      <c r="G483" s="294"/>
      <c r="H483" s="294"/>
      <c r="I483" s="310"/>
    </row>
    <row r="484">
      <c r="A484" s="263"/>
      <c r="B484" s="263"/>
      <c r="C484" s="263"/>
      <c r="F484" s="264"/>
      <c r="G484" s="294"/>
      <c r="H484" s="294"/>
      <c r="I484" s="310"/>
    </row>
    <row r="485">
      <c r="A485" s="263"/>
      <c r="B485" s="263"/>
      <c r="C485" s="263"/>
      <c r="F485" s="264"/>
      <c r="G485" s="294"/>
      <c r="H485" s="294"/>
      <c r="I485" s="310"/>
    </row>
    <row r="486">
      <c r="A486" s="263"/>
      <c r="B486" s="263"/>
      <c r="C486" s="263"/>
      <c r="F486" s="264"/>
      <c r="G486" s="294"/>
      <c r="H486" s="294"/>
      <c r="I486" s="310"/>
    </row>
    <row r="487">
      <c r="A487" s="263"/>
      <c r="B487" s="263"/>
      <c r="C487" s="263"/>
      <c r="F487" s="264"/>
      <c r="G487" s="294"/>
      <c r="H487" s="294"/>
      <c r="I487" s="310"/>
    </row>
    <row r="488">
      <c r="A488" s="263"/>
      <c r="B488" s="263"/>
      <c r="C488" s="263"/>
      <c r="F488" s="264"/>
      <c r="G488" s="294"/>
      <c r="H488" s="294"/>
      <c r="I488" s="310"/>
    </row>
    <row r="489">
      <c r="A489" s="263"/>
      <c r="B489" s="263"/>
      <c r="C489" s="263"/>
      <c r="F489" s="264"/>
      <c r="G489" s="294"/>
      <c r="H489" s="294"/>
      <c r="I489" s="310"/>
    </row>
    <row r="490">
      <c r="A490" s="263"/>
      <c r="B490" s="263"/>
      <c r="C490" s="263"/>
      <c r="F490" s="264"/>
      <c r="G490" s="294"/>
      <c r="H490" s="294"/>
      <c r="I490" s="310"/>
    </row>
    <row r="491">
      <c r="A491" s="263"/>
      <c r="B491" s="263"/>
      <c r="C491" s="263"/>
      <c r="F491" s="264"/>
      <c r="G491" s="294"/>
      <c r="H491" s="294"/>
      <c r="I491" s="310"/>
    </row>
    <row r="492">
      <c r="A492" s="263"/>
      <c r="B492" s="263"/>
      <c r="C492" s="263"/>
      <c r="F492" s="264"/>
      <c r="G492" s="294"/>
      <c r="H492" s="294"/>
      <c r="I492" s="310"/>
    </row>
    <row r="493">
      <c r="A493" s="263"/>
      <c r="B493" s="263"/>
      <c r="C493" s="263"/>
      <c r="F493" s="264"/>
      <c r="G493" s="294"/>
      <c r="H493" s="294"/>
      <c r="I493" s="310"/>
    </row>
    <row r="494">
      <c r="A494" s="263"/>
      <c r="B494" s="263"/>
      <c r="C494" s="263"/>
      <c r="F494" s="264"/>
      <c r="G494" s="294"/>
      <c r="H494" s="294"/>
      <c r="I494" s="310"/>
    </row>
    <row r="495">
      <c r="A495" s="263"/>
      <c r="B495" s="263"/>
      <c r="C495" s="263"/>
      <c r="F495" s="264"/>
      <c r="G495" s="294"/>
      <c r="H495" s="294"/>
      <c r="I495" s="310"/>
    </row>
    <row r="496">
      <c r="A496" s="263"/>
      <c r="B496" s="263"/>
      <c r="C496" s="263"/>
      <c r="F496" s="264"/>
      <c r="G496" s="294"/>
      <c r="H496" s="294"/>
      <c r="I496" s="310"/>
    </row>
    <row r="497">
      <c r="A497" s="263"/>
      <c r="B497" s="263"/>
      <c r="C497" s="263"/>
      <c r="F497" s="264"/>
      <c r="G497" s="294"/>
      <c r="H497" s="294"/>
      <c r="I497" s="310"/>
    </row>
    <row r="498">
      <c r="A498" s="263"/>
      <c r="B498" s="263"/>
      <c r="C498" s="263"/>
      <c r="F498" s="264"/>
      <c r="G498" s="294"/>
      <c r="H498" s="294"/>
      <c r="I498" s="310"/>
    </row>
    <row r="499">
      <c r="A499" s="263"/>
      <c r="B499" s="263"/>
      <c r="C499" s="263"/>
      <c r="F499" s="264"/>
      <c r="G499" s="294"/>
      <c r="H499" s="294"/>
      <c r="I499" s="310"/>
    </row>
    <row r="500">
      <c r="A500" s="263"/>
      <c r="B500" s="263"/>
      <c r="C500" s="263"/>
      <c r="F500" s="264"/>
      <c r="G500" s="294"/>
      <c r="H500" s="294"/>
      <c r="I500" s="310"/>
    </row>
    <row r="501">
      <c r="A501" s="263"/>
      <c r="B501" s="263"/>
      <c r="C501" s="263"/>
      <c r="F501" s="264"/>
      <c r="G501" s="294"/>
      <c r="H501" s="294"/>
      <c r="I501" s="310"/>
    </row>
    <row r="502">
      <c r="A502" s="263"/>
      <c r="B502" s="263"/>
      <c r="C502" s="263"/>
      <c r="F502" s="264"/>
      <c r="G502" s="294"/>
      <c r="H502" s="294"/>
      <c r="I502" s="310"/>
    </row>
    <row r="503">
      <c r="A503" s="263"/>
      <c r="B503" s="263"/>
      <c r="C503" s="263"/>
      <c r="F503" s="264"/>
      <c r="G503" s="294"/>
      <c r="H503" s="294"/>
      <c r="I503" s="310"/>
    </row>
    <row r="504">
      <c r="A504" s="263"/>
      <c r="B504" s="263"/>
      <c r="C504" s="263"/>
      <c r="F504" s="264"/>
      <c r="G504" s="294"/>
      <c r="H504" s="294"/>
      <c r="I504" s="310"/>
    </row>
    <row r="505">
      <c r="A505" s="263"/>
      <c r="B505" s="263"/>
      <c r="C505" s="263"/>
      <c r="F505" s="264"/>
      <c r="G505" s="294"/>
      <c r="H505" s="294"/>
      <c r="I505" s="310"/>
    </row>
    <row r="506">
      <c r="A506" s="263"/>
      <c r="B506" s="263"/>
      <c r="C506" s="263"/>
      <c r="F506" s="264"/>
      <c r="G506" s="294"/>
      <c r="H506" s="294"/>
      <c r="I506" s="310"/>
    </row>
    <row r="507">
      <c r="A507" s="263"/>
      <c r="B507" s="263"/>
      <c r="C507" s="263"/>
      <c r="F507" s="264"/>
      <c r="G507" s="294"/>
      <c r="H507" s="294"/>
      <c r="I507" s="310"/>
    </row>
    <row r="508">
      <c r="A508" s="263"/>
      <c r="B508" s="263"/>
      <c r="C508" s="263"/>
      <c r="F508" s="264"/>
      <c r="G508" s="294"/>
      <c r="H508" s="294"/>
      <c r="I508" s="310"/>
    </row>
    <row r="509">
      <c r="A509" s="263"/>
      <c r="B509" s="263"/>
      <c r="C509" s="263"/>
      <c r="F509" s="264"/>
      <c r="G509" s="294"/>
      <c r="H509" s="294"/>
      <c r="I509" s="310"/>
    </row>
    <row r="510">
      <c r="A510" s="263"/>
      <c r="B510" s="263"/>
      <c r="C510" s="263"/>
      <c r="F510" s="264"/>
      <c r="G510" s="294"/>
      <c r="H510" s="294"/>
      <c r="I510" s="310"/>
    </row>
    <row r="511">
      <c r="A511" s="263"/>
      <c r="B511" s="263"/>
      <c r="C511" s="263"/>
      <c r="F511" s="264"/>
      <c r="G511" s="294"/>
      <c r="H511" s="294"/>
      <c r="I511" s="310"/>
    </row>
    <row r="512">
      <c r="A512" s="263"/>
      <c r="B512" s="263"/>
      <c r="C512" s="263"/>
      <c r="F512" s="264"/>
      <c r="G512" s="294"/>
      <c r="H512" s="294"/>
      <c r="I512" s="310"/>
    </row>
    <row r="513">
      <c r="A513" s="263"/>
      <c r="B513" s="263"/>
      <c r="C513" s="263"/>
      <c r="F513" s="264"/>
      <c r="G513" s="294"/>
      <c r="H513" s="294"/>
      <c r="I513" s="310"/>
    </row>
    <row r="514">
      <c r="A514" s="263"/>
      <c r="B514" s="263"/>
      <c r="C514" s="263"/>
      <c r="F514" s="264"/>
      <c r="G514" s="294"/>
      <c r="H514" s="294"/>
      <c r="I514" s="310"/>
    </row>
    <row r="515">
      <c r="A515" s="263"/>
      <c r="B515" s="263"/>
      <c r="C515" s="263"/>
      <c r="F515" s="264"/>
      <c r="G515" s="294"/>
      <c r="H515" s="294"/>
      <c r="I515" s="310"/>
    </row>
    <row r="516">
      <c r="A516" s="263"/>
      <c r="B516" s="263"/>
      <c r="C516" s="263"/>
      <c r="F516" s="264"/>
      <c r="G516" s="294"/>
      <c r="H516" s="294"/>
      <c r="I516" s="310"/>
    </row>
    <row r="517">
      <c r="A517" s="263"/>
      <c r="B517" s="263"/>
      <c r="C517" s="263"/>
      <c r="F517" s="264"/>
      <c r="G517" s="294"/>
      <c r="H517" s="294"/>
      <c r="I517" s="310"/>
    </row>
    <row r="518">
      <c r="A518" s="263"/>
      <c r="B518" s="263"/>
      <c r="C518" s="263"/>
      <c r="F518" s="264"/>
      <c r="G518" s="294"/>
      <c r="H518" s="294"/>
      <c r="I518" s="310"/>
    </row>
    <row r="519">
      <c r="A519" s="263"/>
      <c r="B519" s="263"/>
      <c r="C519" s="263"/>
      <c r="F519" s="264"/>
      <c r="G519" s="294"/>
      <c r="H519" s="294"/>
      <c r="I519" s="310"/>
    </row>
    <row r="520">
      <c r="A520" s="263"/>
      <c r="B520" s="263"/>
      <c r="C520" s="263"/>
      <c r="F520" s="264"/>
      <c r="G520" s="294"/>
      <c r="H520" s="294"/>
      <c r="I520" s="310"/>
    </row>
    <row r="521">
      <c r="A521" s="263"/>
      <c r="B521" s="263"/>
      <c r="C521" s="263"/>
      <c r="F521" s="264"/>
      <c r="G521" s="294"/>
      <c r="H521" s="294"/>
      <c r="I521" s="310"/>
    </row>
    <row r="522">
      <c r="A522" s="263"/>
      <c r="B522" s="263"/>
      <c r="C522" s="263"/>
      <c r="F522" s="264"/>
      <c r="G522" s="294"/>
      <c r="H522" s="294"/>
      <c r="I522" s="310"/>
    </row>
    <row r="523">
      <c r="A523" s="263"/>
      <c r="B523" s="263"/>
      <c r="C523" s="263"/>
      <c r="F523" s="264"/>
      <c r="G523" s="294"/>
      <c r="H523" s="294"/>
      <c r="I523" s="310"/>
    </row>
    <row r="524">
      <c r="A524" s="263"/>
      <c r="B524" s="263"/>
      <c r="C524" s="263"/>
      <c r="F524" s="264"/>
      <c r="G524" s="294"/>
      <c r="H524" s="294"/>
      <c r="I524" s="310"/>
    </row>
    <row r="525">
      <c r="A525" s="263"/>
      <c r="B525" s="263"/>
      <c r="C525" s="263"/>
      <c r="F525" s="264"/>
      <c r="G525" s="294"/>
      <c r="H525" s="294"/>
      <c r="I525" s="310"/>
    </row>
    <row r="526">
      <c r="A526" s="263"/>
      <c r="B526" s="263"/>
      <c r="C526" s="263"/>
      <c r="F526" s="264"/>
      <c r="G526" s="294"/>
      <c r="H526" s="294"/>
      <c r="I526" s="310"/>
    </row>
    <row r="527">
      <c r="A527" s="263"/>
      <c r="B527" s="263"/>
      <c r="C527" s="263"/>
      <c r="F527" s="264"/>
      <c r="G527" s="294"/>
      <c r="H527" s="294"/>
      <c r="I527" s="310"/>
    </row>
    <row r="528">
      <c r="A528" s="263"/>
      <c r="B528" s="263"/>
      <c r="C528" s="263"/>
      <c r="F528" s="264"/>
      <c r="G528" s="294"/>
      <c r="H528" s="294"/>
      <c r="I528" s="310"/>
    </row>
    <row r="529">
      <c r="A529" s="263"/>
      <c r="B529" s="263"/>
      <c r="C529" s="263"/>
      <c r="F529" s="264"/>
      <c r="G529" s="294"/>
      <c r="H529" s="294"/>
      <c r="I529" s="310"/>
    </row>
    <row r="530">
      <c r="A530" s="263"/>
      <c r="B530" s="263"/>
      <c r="C530" s="263"/>
      <c r="F530" s="264"/>
      <c r="G530" s="294"/>
      <c r="H530" s="294"/>
      <c r="I530" s="310"/>
    </row>
    <row r="531">
      <c r="A531" s="263"/>
      <c r="B531" s="263"/>
      <c r="C531" s="263"/>
      <c r="F531" s="264"/>
      <c r="G531" s="294"/>
      <c r="H531" s="294"/>
      <c r="I531" s="310"/>
    </row>
    <row r="532">
      <c r="A532" s="263"/>
      <c r="B532" s="263"/>
      <c r="C532" s="263"/>
      <c r="F532" s="264"/>
      <c r="G532" s="294"/>
      <c r="H532" s="294"/>
      <c r="I532" s="310"/>
    </row>
    <row r="533">
      <c r="A533" s="263"/>
      <c r="B533" s="263"/>
      <c r="C533" s="263"/>
      <c r="F533" s="264"/>
      <c r="G533" s="294"/>
      <c r="H533" s="294"/>
      <c r="I533" s="310"/>
    </row>
    <row r="534">
      <c r="A534" s="263"/>
      <c r="B534" s="263"/>
      <c r="C534" s="263"/>
      <c r="F534" s="264"/>
      <c r="G534" s="294"/>
      <c r="H534" s="294"/>
      <c r="I534" s="310"/>
    </row>
    <row r="535">
      <c r="A535" s="263"/>
      <c r="B535" s="263"/>
      <c r="C535" s="263"/>
      <c r="F535" s="264"/>
      <c r="G535" s="294"/>
      <c r="H535" s="294"/>
      <c r="I535" s="310"/>
    </row>
    <row r="536">
      <c r="A536" s="263"/>
      <c r="B536" s="263"/>
      <c r="C536" s="263"/>
      <c r="F536" s="264"/>
      <c r="G536" s="294"/>
      <c r="H536" s="294"/>
      <c r="I536" s="310"/>
    </row>
    <row r="537">
      <c r="A537" s="263"/>
      <c r="B537" s="263"/>
      <c r="C537" s="263"/>
      <c r="F537" s="264"/>
      <c r="G537" s="294"/>
      <c r="H537" s="294"/>
      <c r="I537" s="310"/>
    </row>
    <row r="538">
      <c r="A538" s="263"/>
      <c r="B538" s="263"/>
      <c r="C538" s="263"/>
      <c r="F538" s="264"/>
      <c r="G538" s="294"/>
      <c r="H538" s="294"/>
      <c r="I538" s="310"/>
    </row>
    <row r="539">
      <c r="A539" s="263"/>
      <c r="B539" s="263"/>
      <c r="C539" s="263"/>
      <c r="F539" s="264"/>
      <c r="G539" s="294"/>
      <c r="H539" s="294"/>
      <c r="I539" s="310"/>
    </row>
    <row r="540">
      <c r="A540" s="263"/>
      <c r="B540" s="263"/>
      <c r="C540" s="263"/>
      <c r="F540" s="264"/>
      <c r="G540" s="294"/>
      <c r="H540" s="294"/>
      <c r="I540" s="310"/>
    </row>
    <row r="541">
      <c r="A541" s="263"/>
      <c r="B541" s="263"/>
      <c r="C541" s="263"/>
      <c r="F541" s="264"/>
      <c r="G541" s="294"/>
      <c r="H541" s="294"/>
      <c r="I541" s="310"/>
    </row>
    <row r="542">
      <c r="A542" s="263"/>
      <c r="B542" s="263"/>
      <c r="C542" s="263"/>
      <c r="F542" s="264"/>
      <c r="G542" s="294"/>
      <c r="H542" s="294"/>
      <c r="I542" s="310"/>
    </row>
    <row r="543">
      <c r="A543" s="263"/>
      <c r="B543" s="263"/>
      <c r="C543" s="263"/>
      <c r="F543" s="264"/>
      <c r="G543" s="294"/>
      <c r="H543" s="294"/>
      <c r="I543" s="310"/>
    </row>
    <row r="544">
      <c r="A544" s="263"/>
      <c r="B544" s="263"/>
      <c r="C544" s="263"/>
      <c r="F544" s="264"/>
      <c r="G544" s="294"/>
      <c r="H544" s="294"/>
      <c r="I544" s="310"/>
    </row>
    <row r="545">
      <c r="A545" s="263"/>
      <c r="B545" s="263"/>
      <c r="C545" s="263"/>
      <c r="F545" s="264"/>
      <c r="G545" s="294"/>
      <c r="H545" s="294"/>
      <c r="I545" s="310"/>
    </row>
    <row r="546">
      <c r="A546" s="263"/>
      <c r="B546" s="263"/>
      <c r="C546" s="263"/>
      <c r="F546" s="264"/>
      <c r="G546" s="294"/>
      <c r="H546" s="294"/>
      <c r="I546" s="310"/>
    </row>
    <row r="547">
      <c r="A547" s="263"/>
      <c r="B547" s="263"/>
      <c r="C547" s="263"/>
      <c r="F547" s="264"/>
      <c r="G547" s="294"/>
      <c r="H547" s="294"/>
      <c r="I547" s="310"/>
    </row>
    <row r="548">
      <c r="A548" s="263"/>
      <c r="B548" s="263"/>
      <c r="C548" s="263"/>
      <c r="F548" s="264"/>
      <c r="G548" s="294"/>
      <c r="H548" s="294"/>
      <c r="I548" s="310"/>
    </row>
    <row r="549">
      <c r="A549" s="263"/>
      <c r="B549" s="263"/>
      <c r="C549" s="263"/>
      <c r="F549" s="264"/>
      <c r="G549" s="294"/>
      <c r="H549" s="294"/>
      <c r="I549" s="310"/>
    </row>
    <row r="550">
      <c r="A550" s="263"/>
      <c r="B550" s="263"/>
      <c r="C550" s="263"/>
      <c r="F550" s="264"/>
      <c r="G550" s="294"/>
      <c r="H550" s="294"/>
      <c r="I550" s="310"/>
    </row>
    <row r="551">
      <c r="A551" s="263"/>
      <c r="B551" s="263"/>
      <c r="C551" s="263"/>
      <c r="F551" s="264"/>
      <c r="G551" s="294"/>
      <c r="H551" s="294"/>
      <c r="I551" s="310"/>
    </row>
    <row r="552">
      <c r="A552" s="263"/>
      <c r="B552" s="263"/>
      <c r="C552" s="263"/>
      <c r="F552" s="264"/>
      <c r="G552" s="294"/>
      <c r="H552" s="294"/>
      <c r="I552" s="310"/>
    </row>
    <row r="553">
      <c r="A553" s="263"/>
      <c r="B553" s="263"/>
      <c r="C553" s="263"/>
      <c r="F553" s="264"/>
      <c r="G553" s="294"/>
      <c r="H553" s="294"/>
      <c r="I553" s="310"/>
    </row>
    <row r="554">
      <c r="A554" s="263"/>
      <c r="B554" s="263"/>
      <c r="C554" s="263"/>
      <c r="F554" s="264"/>
      <c r="G554" s="294"/>
      <c r="H554" s="294"/>
      <c r="I554" s="310"/>
    </row>
    <row r="555">
      <c r="A555" s="263"/>
      <c r="B555" s="263"/>
      <c r="C555" s="263"/>
      <c r="F555" s="264"/>
      <c r="G555" s="294"/>
      <c r="H555" s="294"/>
      <c r="I555" s="310"/>
    </row>
    <row r="556">
      <c r="A556" s="263"/>
      <c r="B556" s="263"/>
      <c r="C556" s="263"/>
      <c r="F556" s="264"/>
      <c r="G556" s="294"/>
      <c r="H556" s="294"/>
      <c r="I556" s="310"/>
    </row>
    <row r="557">
      <c r="A557" s="263"/>
      <c r="B557" s="263"/>
      <c r="C557" s="263"/>
      <c r="F557" s="264"/>
      <c r="G557" s="294"/>
      <c r="H557" s="294"/>
      <c r="I557" s="310"/>
    </row>
    <row r="558">
      <c r="A558" s="263"/>
      <c r="B558" s="263"/>
      <c r="C558" s="263"/>
      <c r="F558" s="264"/>
      <c r="G558" s="294"/>
      <c r="H558" s="294"/>
      <c r="I558" s="310"/>
    </row>
    <row r="559">
      <c r="A559" s="263"/>
      <c r="B559" s="263"/>
      <c r="C559" s="263"/>
      <c r="F559" s="264"/>
      <c r="G559" s="294"/>
      <c r="H559" s="294"/>
      <c r="I559" s="310"/>
    </row>
    <row r="560">
      <c r="A560" s="263"/>
      <c r="B560" s="263"/>
      <c r="C560" s="263"/>
      <c r="F560" s="264"/>
      <c r="G560" s="294"/>
      <c r="H560" s="294"/>
      <c r="I560" s="310"/>
    </row>
    <row r="561">
      <c r="A561" s="263"/>
      <c r="B561" s="263"/>
      <c r="C561" s="263"/>
      <c r="F561" s="264"/>
      <c r="G561" s="294"/>
      <c r="H561" s="294"/>
      <c r="I561" s="310"/>
    </row>
    <row r="562">
      <c r="A562" s="263"/>
      <c r="B562" s="263"/>
      <c r="C562" s="263"/>
      <c r="F562" s="264"/>
      <c r="G562" s="294"/>
      <c r="H562" s="294"/>
      <c r="I562" s="310"/>
    </row>
    <row r="563">
      <c r="A563" s="263"/>
      <c r="B563" s="263"/>
      <c r="C563" s="263"/>
      <c r="F563" s="264"/>
      <c r="G563" s="294"/>
      <c r="H563" s="294"/>
      <c r="I563" s="310"/>
    </row>
    <row r="564">
      <c r="A564" s="263"/>
      <c r="B564" s="263"/>
      <c r="C564" s="263"/>
      <c r="F564" s="264"/>
      <c r="G564" s="294"/>
      <c r="H564" s="294"/>
      <c r="I564" s="310"/>
    </row>
    <row r="565">
      <c r="A565" s="263"/>
      <c r="B565" s="263"/>
      <c r="C565" s="263"/>
      <c r="F565" s="264"/>
      <c r="G565" s="294"/>
      <c r="H565" s="294"/>
      <c r="I565" s="310"/>
    </row>
    <row r="566">
      <c r="A566" s="263"/>
      <c r="B566" s="263"/>
      <c r="C566" s="263"/>
      <c r="F566" s="264"/>
      <c r="G566" s="294"/>
      <c r="H566" s="294"/>
      <c r="I566" s="310"/>
    </row>
    <row r="567">
      <c r="A567" s="263"/>
      <c r="B567" s="263"/>
      <c r="C567" s="263"/>
      <c r="F567" s="264"/>
      <c r="G567" s="294"/>
      <c r="H567" s="294"/>
      <c r="I567" s="310"/>
    </row>
    <row r="568">
      <c r="A568" s="263"/>
      <c r="B568" s="263"/>
      <c r="C568" s="263"/>
      <c r="F568" s="264"/>
      <c r="G568" s="294"/>
      <c r="H568" s="294"/>
      <c r="I568" s="310"/>
    </row>
    <row r="569">
      <c r="A569" s="263"/>
      <c r="B569" s="263"/>
      <c r="C569" s="263"/>
      <c r="F569" s="264"/>
      <c r="G569" s="294"/>
      <c r="H569" s="294"/>
      <c r="I569" s="310"/>
    </row>
    <row r="570">
      <c r="A570" s="263"/>
      <c r="B570" s="263"/>
      <c r="C570" s="263"/>
      <c r="F570" s="264"/>
      <c r="G570" s="294"/>
      <c r="H570" s="294"/>
      <c r="I570" s="310"/>
    </row>
    <row r="571">
      <c r="A571" s="263"/>
      <c r="B571" s="263"/>
      <c r="C571" s="263"/>
      <c r="F571" s="264"/>
      <c r="G571" s="294"/>
      <c r="H571" s="294"/>
      <c r="I571" s="310"/>
    </row>
    <row r="572">
      <c r="A572" s="263"/>
      <c r="B572" s="263"/>
      <c r="C572" s="263"/>
      <c r="F572" s="264"/>
      <c r="G572" s="294"/>
      <c r="H572" s="294"/>
      <c r="I572" s="310"/>
    </row>
    <row r="573">
      <c r="A573" s="263"/>
      <c r="B573" s="263"/>
      <c r="C573" s="263"/>
      <c r="F573" s="264"/>
      <c r="G573" s="294"/>
      <c r="H573" s="294"/>
      <c r="I573" s="310"/>
    </row>
    <row r="574">
      <c r="A574" s="263"/>
      <c r="B574" s="263"/>
      <c r="C574" s="263"/>
      <c r="F574" s="264"/>
      <c r="G574" s="294"/>
      <c r="H574" s="294"/>
      <c r="I574" s="310"/>
    </row>
    <row r="575">
      <c r="A575" s="263"/>
      <c r="B575" s="263"/>
      <c r="C575" s="263"/>
      <c r="F575" s="264"/>
      <c r="G575" s="294"/>
      <c r="H575" s="294"/>
      <c r="I575" s="310"/>
    </row>
    <row r="576">
      <c r="A576" s="263"/>
      <c r="B576" s="263"/>
      <c r="C576" s="263"/>
      <c r="F576" s="264"/>
      <c r="G576" s="294"/>
      <c r="H576" s="294"/>
      <c r="I576" s="310"/>
    </row>
    <row r="577">
      <c r="A577" s="263"/>
      <c r="B577" s="263"/>
      <c r="C577" s="263"/>
      <c r="F577" s="264"/>
      <c r="G577" s="294"/>
      <c r="H577" s="294"/>
      <c r="I577" s="310"/>
    </row>
    <row r="578">
      <c r="A578" s="263"/>
      <c r="B578" s="263"/>
      <c r="C578" s="263"/>
      <c r="F578" s="264"/>
      <c r="G578" s="294"/>
      <c r="H578" s="294"/>
      <c r="I578" s="310"/>
    </row>
    <row r="579">
      <c r="A579" s="263"/>
      <c r="B579" s="263"/>
      <c r="C579" s="263"/>
      <c r="F579" s="264"/>
      <c r="G579" s="294"/>
      <c r="H579" s="294"/>
      <c r="I579" s="310"/>
    </row>
    <row r="580">
      <c r="A580" s="263"/>
      <c r="B580" s="263"/>
      <c r="C580" s="263"/>
      <c r="F580" s="264"/>
      <c r="G580" s="294"/>
      <c r="H580" s="294"/>
      <c r="I580" s="310"/>
    </row>
    <row r="581">
      <c r="A581" s="263"/>
      <c r="B581" s="263"/>
      <c r="C581" s="263"/>
      <c r="F581" s="264"/>
      <c r="G581" s="294"/>
      <c r="H581" s="294"/>
      <c r="I581" s="310"/>
    </row>
    <row r="582">
      <c r="A582" s="263"/>
      <c r="B582" s="263"/>
      <c r="C582" s="263"/>
      <c r="F582" s="264"/>
      <c r="G582" s="294"/>
      <c r="H582" s="294"/>
      <c r="I582" s="310"/>
    </row>
    <row r="583">
      <c r="A583" s="263"/>
      <c r="B583" s="263"/>
      <c r="C583" s="263"/>
      <c r="F583" s="264"/>
      <c r="G583" s="294"/>
      <c r="H583" s="294"/>
      <c r="I583" s="310"/>
    </row>
    <row r="584">
      <c r="A584" s="263"/>
      <c r="B584" s="263"/>
      <c r="C584" s="263"/>
      <c r="F584" s="264"/>
      <c r="G584" s="294"/>
      <c r="H584" s="294"/>
      <c r="I584" s="310"/>
    </row>
    <row r="585">
      <c r="A585" s="263"/>
      <c r="B585" s="263"/>
      <c r="C585" s="263"/>
      <c r="F585" s="264"/>
      <c r="G585" s="294"/>
      <c r="H585" s="294"/>
      <c r="I585" s="310"/>
    </row>
    <row r="586">
      <c r="A586" s="263"/>
      <c r="B586" s="263"/>
      <c r="C586" s="263"/>
      <c r="F586" s="264"/>
      <c r="G586" s="294"/>
      <c r="H586" s="294"/>
      <c r="I586" s="310"/>
    </row>
    <row r="587">
      <c r="A587" s="263"/>
      <c r="B587" s="263"/>
      <c r="C587" s="263"/>
      <c r="F587" s="264"/>
      <c r="G587" s="294"/>
      <c r="H587" s="294"/>
      <c r="I587" s="310"/>
    </row>
    <row r="588">
      <c r="A588" s="263"/>
      <c r="B588" s="263"/>
      <c r="C588" s="263"/>
      <c r="F588" s="264"/>
      <c r="G588" s="294"/>
      <c r="H588" s="294"/>
      <c r="I588" s="310"/>
    </row>
    <row r="589">
      <c r="A589" s="263"/>
      <c r="B589" s="263"/>
      <c r="C589" s="263"/>
      <c r="F589" s="264"/>
      <c r="G589" s="294"/>
      <c r="H589" s="294"/>
      <c r="I589" s="310"/>
    </row>
    <row r="590">
      <c r="A590" s="263"/>
      <c r="B590" s="263"/>
      <c r="C590" s="263"/>
      <c r="F590" s="264"/>
      <c r="G590" s="294"/>
      <c r="H590" s="294"/>
      <c r="I590" s="310"/>
    </row>
    <row r="591">
      <c r="A591" s="263"/>
      <c r="B591" s="263"/>
      <c r="C591" s="263"/>
      <c r="F591" s="264"/>
      <c r="G591" s="294"/>
      <c r="H591" s="294"/>
      <c r="I591" s="310"/>
    </row>
    <row r="592">
      <c r="A592" s="263"/>
      <c r="B592" s="263"/>
      <c r="C592" s="263"/>
      <c r="F592" s="264"/>
      <c r="G592" s="294"/>
      <c r="H592" s="294"/>
      <c r="I592" s="310"/>
    </row>
    <row r="593">
      <c r="A593" s="263"/>
      <c r="B593" s="263"/>
      <c r="C593" s="263"/>
      <c r="F593" s="264"/>
      <c r="G593" s="294"/>
      <c r="H593" s="294"/>
      <c r="I593" s="310"/>
    </row>
    <row r="594">
      <c r="A594" s="263"/>
      <c r="B594" s="263"/>
      <c r="C594" s="263"/>
      <c r="F594" s="264"/>
      <c r="G594" s="294"/>
      <c r="H594" s="294"/>
      <c r="I594" s="310"/>
    </row>
    <row r="595">
      <c r="A595" s="263"/>
      <c r="B595" s="263"/>
      <c r="C595" s="263"/>
      <c r="F595" s="264"/>
      <c r="G595" s="294"/>
      <c r="H595" s="294"/>
      <c r="I595" s="310"/>
    </row>
    <row r="596">
      <c r="A596" s="263"/>
      <c r="B596" s="263"/>
      <c r="C596" s="263"/>
      <c r="F596" s="264"/>
      <c r="G596" s="294"/>
      <c r="H596" s="294"/>
      <c r="I596" s="310"/>
    </row>
    <row r="597">
      <c r="A597" s="263"/>
      <c r="B597" s="263"/>
      <c r="C597" s="263"/>
      <c r="F597" s="264"/>
      <c r="G597" s="294"/>
      <c r="H597" s="294"/>
      <c r="I597" s="310"/>
    </row>
    <row r="598">
      <c r="A598" s="263"/>
      <c r="B598" s="263"/>
      <c r="C598" s="263"/>
      <c r="F598" s="264"/>
      <c r="G598" s="294"/>
      <c r="H598" s="294"/>
      <c r="I598" s="310"/>
    </row>
    <row r="599">
      <c r="A599" s="263"/>
      <c r="B599" s="263"/>
      <c r="C599" s="263"/>
      <c r="F599" s="264"/>
      <c r="G599" s="294"/>
      <c r="H599" s="294"/>
      <c r="I599" s="310"/>
    </row>
    <row r="600">
      <c r="A600" s="263"/>
      <c r="B600" s="263"/>
      <c r="C600" s="263"/>
      <c r="F600" s="264"/>
      <c r="G600" s="294"/>
      <c r="H600" s="294"/>
      <c r="I600" s="310"/>
    </row>
    <row r="601">
      <c r="A601" s="263"/>
      <c r="B601" s="263"/>
      <c r="C601" s="263"/>
      <c r="F601" s="264"/>
      <c r="G601" s="294"/>
      <c r="H601" s="294"/>
      <c r="I601" s="310"/>
    </row>
    <row r="602">
      <c r="A602" s="263"/>
      <c r="B602" s="263"/>
      <c r="C602" s="263"/>
      <c r="F602" s="264"/>
      <c r="G602" s="294"/>
      <c r="H602" s="294"/>
      <c r="I602" s="310"/>
    </row>
    <row r="603">
      <c r="A603" s="263"/>
      <c r="B603" s="263"/>
      <c r="C603" s="263"/>
      <c r="F603" s="264"/>
      <c r="G603" s="294"/>
      <c r="H603" s="294"/>
      <c r="I603" s="310"/>
    </row>
    <row r="604">
      <c r="A604" s="263"/>
      <c r="B604" s="263"/>
      <c r="C604" s="263"/>
      <c r="F604" s="264"/>
      <c r="G604" s="294"/>
      <c r="H604" s="294"/>
      <c r="I604" s="310"/>
    </row>
    <row r="605">
      <c r="A605" s="263"/>
      <c r="B605" s="263"/>
      <c r="C605" s="263"/>
      <c r="F605" s="264"/>
      <c r="G605" s="294"/>
      <c r="H605" s="294"/>
      <c r="I605" s="310"/>
    </row>
    <row r="606">
      <c r="A606" s="263"/>
      <c r="B606" s="263"/>
      <c r="C606" s="263"/>
      <c r="F606" s="264"/>
      <c r="G606" s="294"/>
      <c r="H606" s="294"/>
      <c r="I606" s="310"/>
    </row>
    <row r="607">
      <c r="A607" s="263"/>
      <c r="B607" s="263"/>
      <c r="C607" s="263"/>
      <c r="F607" s="264"/>
      <c r="G607" s="294"/>
      <c r="H607" s="294"/>
      <c r="I607" s="310"/>
    </row>
    <row r="608">
      <c r="A608" s="263"/>
      <c r="B608" s="263"/>
      <c r="C608" s="263"/>
      <c r="F608" s="264"/>
      <c r="G608" s="294"/>
      <c r="H608" s="294"/>
      <c r="I608" s="310"/>
    </row>
    <row r="609">
      <c r="A609" s="263"/>
      <c r="B609" s="263"/>
      <c r="C609" s="263"/>
      <c r="F609" s="264"/>
      <c r="G609" s="294"/>
      <c r="H609" s="294"/>
      <c r="I609" s="310"/>
    </row>
    <row r="610">
      <c r="A610" s="263"/>
      <c r="B610" s="263"/>
      <c r="C610" s="263"/>
      <c r="F610" s="264"/>
      <c r="G610" s="294"/>
      <c r="H610" s="294"/>
      <c r="I610" s="310"/>
    </row>
    <row r="611">
      <c r="A611" s="263"/>
      <c r="B611" s="263"/>
      <c r="C611" s="263"/>
      <c r="F611" s="264"/>
      <c r="G611" s="294"/>
      <c r="H611" s="294"/>
      <c r="I611" s="310"/>
    </row>
    <row r="612">
      <c r="A612" s="263"/>
      <c r="B612" s="263"/>
      <c r="C612" s="263"/>
      <c r="F612" s="264"/>
      <c r="G612" s="294"/>
      <c r="H612" s="294"/>
      <c r="I612" s="310"/>
    </row>
    <row r="613">
      <c r="A613" s="263"/>
      <c r="B613" s="263"/>
      <c r="C613" s="263"/>
      <c r="F613" s="264"/>
      <c r="G613" s="294"/>
      <c r="H613" s="294"/>
      <c r="I613" s="310"/>
    </row>
    <row r="614">
      <c r="A614" s="263"/>
      <c r="B614" s="263"/>
      <c r="C614" s="263"/>
      <c r="F614" s="264"/>
      <c r="G614" s="294"/>
      <c r="H614" s="294"/>
      <c r="I614" s="310"/>
    </row>
    <row r="615">
      <c r="A615" s="263"/>
      <c r="B615" s="263"/>
      <c r="C615" s="263"/>
      <c r="F615" s="264"/>
      <c r="G615" s="294"/>
      <c r="H615" s="294"/>
      <c r="I615" s="310"/>
    </row>
    <row r="616">
      <c r="A616" s="263"/>
      <c r="B616" s="263"/>
      <c r="C616" s="263"/>
      <c r="F616" s="264"/>
      <c r="G616" s="294"/>
      <c r="H616" s="294"/>
      <c r="I616" s="310"/>
    </row>
    <row r="617">
      <c r="A617" s="263"/>
      <c r="B617" s="263"/>
      <c r="C617" s="263"/>
      <c r="F617" s="264"/>
      <c r="G617" s="294"/>
      <c r="H617" s="294"/>
      <c r="I617" s="310"/>
    </row>
    <row r="618">
      <c r="A618" s="263"/>
      <c r="B618" s="263"/>
      <c r="C618" s="263"/>
      <c r="F618" s="264"/>
      <c r="G618" s="294"/>
      <c r="H618" s="294"/>
      <c r="I618" s="310"/>
    </row>
    <row r="619">
      <c r="A619" s="263"/>
      <c r="B619" s="263"/>
      <c r="C619" s="263"/>
      <c r="F619" s="264"/>
      <c r="G619" s="294"/>
      <c r="H619" s="294"/>
      <c r="I619" s="310"/>
    </row>
    <row r="620">
      <c r="A620" s="263"/>
      <c r="B620" s="263"/>
      <c r="C620" s="263"/>
      <c r="F620" s="264"/>
      <c r="G620" s="294"/>
      <c r="H620" s="294"/>
      <c r="I620" s="310"/>
    </row>
    <row r="621">
      <c r="A621" s="263"/>
      <c r="B621" s="263"/>
      <c r="C621" s="263"/>
      <c r="F621" s="264"/>
      <c r="G621" s="294"/>
      <c r="H621" s="294"/>
      <c r="I621" s="310"/>
    </row>
    <row r="622">
      <c r="A622" s="263"/>
      <c r="B622" s="263"/>
      <c r="C622" s="263"/>
      <c r="F622" s="264"/>
      <c r="G622" s="294"/>
      <c r="H622" s="294"/>
      <c r="I622" s="310"/>
    </row>
    <row r="623">
      <c r="A623" s="263"/>
      <c r="B623" s="263"/>
      <c r="C623" s="263"/>
      <c r="F623" s="264"/>
      <c r="G623" s="294"/>
      <c r="H623" s="294"/>
      <c r="I623" s="310"/>
    </row>
    <row r="624">
      <c r="A624" s="263"/>
      <c r="B624" s="263"/>
      <c r="C624" s="263"/>
      <c r="F624" s="264"/>
      <c r="G624" s="294"/>
      <c r="H624" s="294"/>
      <c r="I624" s="310"/>
    </row>
    <row r="625">
      <c r="A625" s="263"/>
      <c r="B625" s="263"/>
      <c r="C625" s="263"/>
      <c r="F625" s="264"/>
      <c r="G625" s="294"/>
      <c r="H625" s="294"/>
      <c r="I625" s="310"/>
    </row>
    <row r="626">
      <c r="A626" s="263"/>
      <c r="B626" s="263"/>
      <c r="C626" s="263"/>
      <c r="F626" s="264"/>
      <c r="G626" s="294"/>
      <c r="H626" s="294"/>
      <c r="I626" s="310"/>
    </row>
    <row r="627">
      <c r="A627" s="263"/>
      <c r="B627" s="263"/>
      <c r="C627" s="263"/>
      <c r="F627" s="264"/>
      <c r="G627" s="294"/>
      <c r="H627" s="294"/>
      <c r="I627" s="310"/>
    </row>
    <row r="628">
      <c r="A628" s="263"/>
      <c r="B628" s="263"/>
      <c r="C628" s="263"/>
      <c r="F628" s="264"/>
      <c r="G628" s="294"/>
      <c r="H628" s="294"/>
      <c r="I628" s="310"/>
    </row>
    <row r="629">
      <c r="A629" s="263"/>
      <c r="B629" s="263"/>
      <c r="C629" s="263"/>
      <c r="F629" s="264"/>
      <c r="G629" s="294"/>
      <c r="H629" s="294"/>
      <c r="I629" s="310"/>
    </row>
    <row r="630">
      <c r="A630" s="263"/>
      <c r="B630" s="263"/>
      <c r="C630" s="263"/>
      <c r="F630" s="264"/>
      <c r="G630" s="294"/>
      <c r="H630" s="294"/>
      <c r="I630" s="310"/>
    </row>
    <row r="631">
      <c r="A631" s="263"/>
      <c r="B631" s="263"/>
      <c r="C631" s="263"/>
      <c r="F631" s="264"/>
      <c r="G631" s="294"/>
      <c r="H631" s="294"/>
      <c r="I631" s="310"/>
    </row>
    <row r="632">
      <c r="A632" s="263"/>
      <c r="B632" s="263"/>
      <c r="C632" s="263"/>
      <c r="F632" s="264"/>
      <c r="G632" s="294"/>
      <c r="H632" s="294"/>
      <c r="I632" s="310"/>
    </row>
    <row r="633">
      <c r="A633" s="263"/>
      <c r="B633" s="263"/>
      <c r="C633" s="263"/>
      <c r="F633" s="264"/>
      <c r="G633" s="294"/>
      <c r="H633" s="294"/>
      <c r="I633" s="310"/>
    </row>
    <row r="634">
      <c r="A634" s="263"/>
      <c r="B634" s="263"/>
      <c r="C634" s="263"/>
      <c r="F634" s="264"/>
      <c r="G634" s="294"/>
      <c r="H634" s="294"/>
      <c r="I634" s="310"/>
    </row>
    <row r="635">
      <c r="A635" s="263"/>
      <c r="B635" s="263"/>
      <c r="C635" s="263"/>
      <c r="F635" s="264"/>
      <c r="G635" s="294"/>
      <c r="H635" s="294"/>
      <c r="I635" s="310"/>
    </row>
    <row r="636">
      <c r="A636" s="263"/>
      <c r="B636" s="263"/>
      <c r="C636" s="263"/>
      <c r="F636" s="264"/>
      <c r="G636" s="294"/>
      <c r="H636" s="294"/>
      <c r="I636" s="310"/>
    </row>
    <row r="637">
      <c r="A637" s="263"/>
      <c r="B637" s="263"/>
      <c r="C637" s="263"/>
      <c r="F637" s="264"/>
      <c r="G637" s="294"/>
      <c r="H637" s="294"/>
      <c r="I637" s="310"/>
    </row>
    <row r="638">
      <c r="A638" s="263"/>
      <c r="B638" s="263"/>
      <c r="C638" s="263"/>
      <c r="F638" s="264"/>
      <c r="G638" s="294"/>
      <c r="H638" s="294"/>
      <c r="I638" s="310"/>
    </row>
    <row r="639">
      <c r="A639" s="263"/>
      <c r="B639" s="263"/>
      <c r="C639" s="263"/>
      <c r="F639" s="264"/>
      <c r="G639" s="294"/>
      <c r="H639" s="294"/>
      <c r="I639" s="310"/>
    </row>
    <row r="640">
      <c r="A640" s="263"/>
      <c r="B640" s="263"/>
      <c r="C640" s="263"/>
      <c r="F640" s="264"/>
      <c r="G640" s="294"/>
      <c r="H640" s="294"/>
      <c r="I640" s="310"/>
    </row>
    <row r="641">
      <c r="A641" s="263"/>
      <c r="B641" s="263"/>
      <c r="C641" s="263"/>
      <c r="F641" s="264"/>
      <c r="G641" s="294"/>
      <c r="H641" s="294"/>
      <c r="I641" s="310"/>
    </row>
    <row r="642">
      <c r="A642" s="263"/>
      <c r="B642" s="263"/>
      <c r="C642" s="263"/>
      <c r="F642" s="264"/>
      <c r="G642" s="294"/>
      <c r="H642" s="294"/>
      <c r="I642" s="310"/>
    </row>
    <row r="643">
      <c r="A643" s="263"/>
      <c r="B643" s="263"/>
      <c r="C643" s="263"/>
      <c r="F643" s="264"/>
      <c r="G643" s="294"/>
      <c r="H643" s="294"/>
      <c r="I643" s="310"/>
    </row>
    <row r="644">
      <c r="A644" s="263"/>
      <c r="B644" s="263"/>
      <c r="C644" s="263"/>
      <c r="F644" s="264"/>
      <c r="G644" s="294"/>
      <c r="H644" s="294"/>
      <c r="I644" s="310"/>
    </row>
    <row r="645">
      <c r="A645" s="263"/>
      <c r="B645" s="263"/>
      <c r="C645" s="263"/>
      <c r="F645" s="264"/>
      <c r="G645" s="294"/>
      <c r="H645" s="294"/>
      <c r="I645" s="310"/>
    </row>
    <row r="646">
      <c r="A646" s="263"/>
      <c r="B646" s="263"/>
      <c r="C646" s="263"/>
      <c r="F646" s="264"/>
      <c r="G646" s="294"/>
      <c r="H646" s="294"/>
      <c r="I646" s="310"/>
    </row>
    <row r="647">
      <c r="A647" s="263"/>
      <c r="B647" s="263"/>
      <c r="C647" s="263"/>
      <c r="F647" s="264"/>
      <c r="G647" s="294"/>
      <c r="H647" s="294"/>
      <c r="I647" s="310"/>
    </row>
    <row r="648">
      <c r="A648" s="263"/>
      <c r="B648" s="263"/>
      <c r="C648" s="263"/>
      <c r="F648" s="264"/>
      <c r="G648" s="294"/>
      <c r="H648" s="294"/>
      <c r="I648" s="310"/>
    </row>
    <row r="649">
      <c r="A649" s="263"/>
      <c r="B649" s="263"/>
      <c r="C649" s="263"/>
      <c r="F649" s="264"/>
      <c r="G649" s="294"/>
      <c r="H649" s="294"/>
      <c r="I649" s="310"/>
    </row>
    <row r="650">
      <c r="A650" s="263"/>
      <c r="B650" s="263"/>
      <c r="C650" s="263"/>
      <c r="F650" s="264"/>
      <c r="G650" s="294"/>
      <c r="H650" s="294"/>
      <c r="I650" s="310"/>
    </row>
    <row r="651">
      <c r="A651" s="263"/>
      <c r="B651" s="263"/>
      <c r="C651" s="263"/>
      <c r="F651" s="264"/>
      <c r="G651" s="294"/>
      <c r="H651" s="294"/>
      <c r="I651" s="310"/>
    </row>
    <row r="652">
      <c r="A652" s="263"/>
      <c r="B652" s="263"/>
      <c r="C652" s="263"/>
      <c r="F652" s="264"/>
      <c r="G652" s="294"/>
      <c r="H652" s="294"/>
      <c r="I652" s="310"/>
    </row>
    <row r="653">
      <c r="A653" s="263"/>
      <c r="B653" s="263"/>
      <c r="C653" s="263"/>
      <c r="F653" s="264"/>
      <c r="G653" s="294"/>
      <c r="H653" s="294"/>
      <c r="I653" s="310"/>
    </row>
    <row r="654">
      <c r="A654" s="263"/>
      <c r="B654" s="263"/>
      <c r="C654" s="263"/>
      <c r="F654" s="264"/>
      <c r="G654" s="294"/>
      <c r="H654" s="294"/>
      <c r="I654" s="310"/>
    </row>
    <row r="655">
      <c r="A655" s="263"/>
      <c r="B655" s="263"/>
      <c r="C655" s="263"/>
      <c r="F655" s="264"/>
      <c r="G655" s="294"/>
      <c r="H655" s="294"/>
      <c r="I655" s="310"/>
    </row>
    <row r="656">
      <c r="A656" s="263"/>
      <c r="B656" s="263"/>
      <c r="C656" s="263"/>
      <c r="F656" s="264"/>
      <c r="G656" s="294"/>
      <c r="H656" s="294"/>
      <c r="I656" s="310"/>
    </row>
    <row r="657">
      <c r="A657" s="263"/>
      <c r="B657" s="263"/>
      <c r="C657" s="263"/>
      <c r="F657" s="264"/>
      <c r="G657" s="294"/>
      <c r="H657" s="294"/>
      <c r="I657" s="310"/>
    </row>
    <row r="658">
      <c r="A658" s="263"/>
      <c r="B658" s="263"/>
      <c r="C658" s="263"/>
      <c r="F658" s="264"/>
      <c r="G658" s="294"/>
      <c r="H658" s="294"/>
      <c r="I658" s="310"/>
    </row>
    <row r="659">
      <c r="A659" s="263"/>
      <c r="B659" s="263"/>
      <c r="C659" s="263"/>
      <c r="F659" s="264"/>
      <c r="G659" s="294"/>
      <c r="H659" s="294"/>
      <c r="I659" s="310"/>
    </row>
    <row r="660">
      <c r="A660" s="263"/>
      <c r="B660" s="263"/>
      <c r="C660" s="263"/>
      <c r="F660" s="264"/>
      <c r="G660" s="294"/>
      <c r="H660" s="294"/>
      <c r="I660" s="310"/>
    </row>
    <row r="661">
      <c r="A661" s="263"/>
      <c r="B661" s="263"/>
      <c r="C661" s="263"/>
      <c r="F661" s="264"/>
      <c r="G661" s="294"/>
      <c r="H661" s="294"/>
      <c r="I661" s="310"/>
    </row>
    <row r="662">
      <c r="A662" s="263"/>
      <c r="B662" s="263"/>
      <c r="C662" s="263"/>
      <c r="F662" s="264"/>
      <c r="G662" s="294"/>
      <c r="H662" s="294"/>
      <c r="I662" s="310"/>
    </row>
    <row r="663">
      <c r="A663" s="263"/>
      <c r="B663" s="263"/>
      <c r="C663" s="263"/>
      <c r="F663" s="264"/>
      <c r="G663" s="294"/>
      <c r="H663" s="294"/>
      <c r="I663" s="310"/>
    </row>
    <row r="664">
      <c r="A664" s="263"/>
      <c r="B664" s="263"/>
      <c r="C664" s="263"/>
      <c r="F664" s="264"/>
      <c r="G664" s="294"/>
      <c r="H664" s="294"/>
      <c r="I664" s="310"/>
    </row>
    <row r="665">
      <c r="A665" s="263"/>
      <c r="B665" s="263"/>
      <c r="C665" s="263"/>
      <c r="F665" s="264"/>
      <c r="G665" s="294"/>
      <c r="H665" s="294"/>
      <c r="I665" s="310"/>
    </row>
    <row r="666">
      <c r="A666" s="263"/>
      <c r="B666" s="263"/>
      <c r="C666" s="263"/>
      <c r="F666" s="264"/>
      <c r="G666" s="294"/>
      <c r="H666" s="294"/>
      <c r="I666" s="310"/>
    </row>
    <row r="667">
      <c r="A667" s="263"/>
      <c r="B667" s="263"/>
      <c r="C667" s="263"/>
      <c r="F667" s="264"/>
      <c r="G667" s="294"/>
      <c r="H667" s="294"/>
      <c r="I667" s="310"/>
    </row>
    <row r="668">
      <c r="A668" s="263"/>
      <c r="B668" s="263"/>
      <c r="C668" s="263"/>
      <c r="F668" s="264"/>
      <c r="G668" s="294"/>
      <c r="H668" s="294"/>
      <c r="I668" s="310"/>
    </row>
    <row r="669">
      <c r="A669" s="263"/>
      <c r="B669" s="263"/>
      <c r="C669" s="263"/>
      <c r="F669" s="264"/>
      <c r="G669" s="294"/>
      <c r="H669" s="294"/>
      <c r="I669" s="310"/>
    </row>
    <row r="670">
      <c r="A670" s="263"/>
      <c r="B670" s="263"/>
      <c r="C670" s="263"/>
      <c r="F670" s="264"/>
      <c r="G670" s="294"/>
      <c r="H670" s="294"/>
      <c r="I670" s="310"/>
    </row>
    <row r="671">
      <c r="A671" s="263"/>
      <c r="B671" s="263"/>
      <c r="C671" s="263"/>
      <c r="F671" s="264"/>
      <c r="G671" s="294"/>
      <c r="H671" s="294"/>
      <c r="I671" s="310"/>
    </row>
    <row r="672">
      <c r="A672" s="263"/>
      <c r="B672" s="263"/>
      <c r="C672" s="263"/>
      <c r="F672" s="264"/>
      <c r="G672" s="294"/>
      <c r="H672" s="294"/>
      <c r="I672" s="310"/>
    </row>
    <row r="673">
      <c r="A673" s="263"/>
      <c r="B673" s="263"/>
      <c r="C673" s="263"/>
      <c r="F673" s="264"/>
      <c r="G673" s="294"/>
      <c r="H673" s="294"/>
      <c r="I673" s="310"/>
    </row>
    <row r="674">
      <c r="A674" s="263"/>
      <c r="B674" s="263"/>
      <c r="C674" s="263"/>
      <c r="F674" s="264"/>
      <c r="G674" s="294"/>
      <c r="H674" s="294"/>
      <c r="I674" s="310"/>
    </row>
    <row r="675">
      <c r="A675" s="263"/>
      <c r="B675" s="263"/>
      <c r="C675" s="263"/>
      <c r="F675" s="264"/>
      <c r="G675" s="294"/>
      <c r="H675" s="294"/>
      <c r="I675" s="310"/>
    </row>
    <row r="676">
      <c r="A676" s="263"/>
      <c r="B676" s="263"/>
      <c r="C676" s="263"/>
      <c r="F676" s="264"/>
      <c r="G676" s="294"/>
      <c r="H676" s="294"/>
      <c r="I676" s="310"/>
    </row>
    <row r="677">
      <c r="A677" s="263"/>
      <c r="B677" s="263"/>
      <c r="C677" s="263"/>
      <c r="F677" s="264"/>
      <c r="G677" s="294"/>
      <c r="H677" s="294"/>
      <c r="I677" s="310"/>
    </row>
    <row r="678">
      <c r="A678" s="263"/>
      <c r="B678" s="263"/>
      <c r="C678" s="263"/>
      <c r="F678" s="264"/>
      <c r="G678" s="294"/>
      <c r="H678" s="294"/>
      <c r="I678" s="310"/>
    </row>
    <row r="679">
      <c r="A679" s="263"/>
      <c r="B679" s="263"/>
      <c r="C679" s="263"/>
      <c r="F679" s="264"/>
      <c r="G679" s="294"/>
      <c r="H679" s="294"/>
      <c r="I679" s="310"/>
    </row>
    <row r="680">
      <c r="A680" s="263"/>
      <c r="B680" s="263"/>
      <c r="C680" s="263"/>
      <c r="F680" s="264"/>
      <c r="G680" s="294"/>
      <c r="H680" s="294"/>
      <c r="I680" s="310"/>
    </row>
    <row r="681">
      <c r="A681" s="263"/>
      <c r="B681" s="263"/>
      <c r="C681" s="263"/>
      <c r="F681" s="264"/>
      <c r="G681" s="294"/>
      <c r="H681" s="294"/>
      <c r="I681" s="310"/>
    </row>
    <row r="682">
      <c r="A682" s="263"/>
      <c r="B682" s="263"/>
      <c r="C682" s="263"/>
      <c r="F682" s="264"/>
      <c r="G682" s="294"/>
      <c r="H682" s="294"/>
      <c r="I682" s="310"/>
    </row>
    <row r="683">
      <c r="A683" s="263"/>
      <c r="B683" s="263"/>
      <c r="C683" s="263"/>
      <c r="F683" s="264"/>
      <c r="G683" s="294"/>
      <c r="H683" s="294"/>
      <c r="I683" s="310"/>
    </row>
    <row r="684">
      <c r="A684" s="263"/>
      <c r="B684" s="263"/>
      <c r="C684" s="263"/>
      <c r="F684" s="264"/>
      <c r="G684" s="294"/>
      <c r="H684" s="294"/>
      <c r="I684" s="310"/>
    </row>
    <row r="685">
      <c r="A685" s="263"/>
      <c r="B685" s="263"/>
      <c r="C685" s="263"/>
      <c r="F685" s="264"/>
      <c r="G685" s="294"/>
      <c r="H685" s="294"/>
      <c r="I685" s="310"/>
    </row>
    <row r="686">
      <c r="A686" s="263"/>
      <c r="B686" s="263"/>
      <c r="C686" s="263"/>
      <c r="F686" s="264"/>
      <c r="G686" s="294"/>
      <c r="H686" s="294"/>
      <c r="I686" s="310"/>
    </row>
    <row r="687">
      <c r="A687" s="263"/>
      <c r="B687" s="263"/>
      <c r="C687" s="263"/>
      <c r="F687" s="264"/>
      <c r="G687" s="294"/>
      <c r="H687" s="294"/>
      <c r="I687" s="310"/>
    </row>
    <row r="688">
      <c r="A688" s="263"/>
      <c r="B688" s="263"/>
      <c r="C688" s="263"/>
      <c r="F688" s="264"/>
      <c r="G688" s="294"/>
      <c r="H688" s="294"/>
      <c r="I688" s="310"/>
    </row>
    <row r="689">
      <c r="A689" s="263"/>
      <c r="B689" s="263"/>
      <c r="C689" s="263"/>
      <c r="F689" s="264"/>
      <c r="G689" s="294"/>
      <c r="H689" s="294"/>
      <c r="I689" s="310"/>
    </row>
    <row r="690">
      <c r="A690" s="263"/>
      <c r="B690" s="263"/>
      <c r="C690" s="263"/>
      <c r="F690" s="264"/>
      <c r="G690" s="294"/>
      <c r="H690" s="294"/>
      <c r="I690" s="310"/>
    </row>
    <row r="691">
      <c r="A691" s="263"/>
      <c r="B691" s="263"/>
      <c r="C691" s="263"/>
      <c r="F691" s="264"/>
      <c r="G691" s="294"/>
      <c r="H691" s="294"/>
      <c r="I691" s="310"/>
    </row>
    <row r="692">
      <c r="A692" s="263"/>
      <c r="B692" s="263"/>
      <c r="C692" s="263"/>
      <c r="F692" s="264"/>
      <c r="G692" s="294"/>
      <c r="H692" s="294"/>
      <c r="I692" s="310"/>
    </row>
    <row r="693">
      <c r="A693" s="263"/>
      <c r="B693" s="263"/>
      <c r="C693" s="263"/>
      <c r="F693" s="264"/>
      <c r="G693" s="294"/>
      <c r="H693" s="294"/>
      <c r="I693" s="310"/>
    </row>
    <row r="694">
      <c r="A694" s="263"/>
      <c r="B694" s="263"/>
      <c r="C694" s="263"/>
      <c r="F694" s="264"/>
      <c r="G694" s="294"/>
      <c r="H694" s="294"/>
      <c r="I694" s="310"/>
    </row>
    <row r="695">
      <c r="A695" s="263"/>
      <c r="B695" s="263"/>
      <c r="C695" s="263"/>
      <c r="F695" s="264"/>
      <c r="G695" s="294"/>
      <c r="H695" s="294"/>
      <c r="I695" s="310"/>
    </row>
    <row r="696">
      <c r="A696" s="263"/>
      <c r="B696" s="263"/>
      <c r="C696" s="263"/>
      <c r="F696" s="264"/>
      <c r="G696" s="294"/>
      <c r="H696" s="294"/>
      <c r="I696" s="310"/>
    </row>
    <row r="697">
      <c r="A697" s="263"/>
      <c r="B697" s="263"/>
      <c r="C697" s="263"/>
      <c r="F697" s="264"/>
      <c r="G697" s="294"/>
      <c r="H697" s="294"/>
      <c r="I697" s="310"/>
    </row>
    <row r="698">
      <c r="A698" s="263"/>
      <c r="B698" s="263"/>
      <c r="C698" s="263"/>
      <c r="F698" s="264"/>
      <c r="G698" s="294"/>
      <c r="H698" s="294"/>
      <c r="I698" s="310"/>
    </row>
    <row r="699">
      <c r="A699" s="263"/>
      <c r="B699" s="263"/>
      <c r="C699" s="263"/>
      <c r="F699" s="264"/>
      <c r="G699" s="294"/>
      <c r="H699" s="294"/>
      <c r="I699" s="310"/>
    </row>
    <row r="700">
      <c r="A700" s="263"/>
      <c r="B700" s="263"/>
      <c r="C700" s="263"/>
      <c r="F700" s="264"/>
      <c r="G700" s="294"/>
      <c r="H700" s="294"/>
      <c r="I700" s="310"/>
    </row>
    <row r="701">
      <c r="A701" s="263"/>
      <c r="B701" s="263"/>
      <c r="C701" s="263"/>
      <c r="F701" s="264"/>
      <c r="G701" s="294"/>
      <c r="H701" s="294"/>
      <c r="I701" s="310"/>
    </row>
    <row r="702">
      <c r="A702" s="263"/>
      <c r="B702" s="263"/>
      <c r="C702" s="263"/>
      <c r="F702" s="264"/>
      <c r="G702" s="294"/>
      <c r="H702" s="294"/>
      <c r="I702" s="310"/>
    </row>
    <row r="703">
      <c r="A703" s="263"/>
      <c r="B703" s="263"/>
      <c r="C703" s="263"/>
      <c r="F703" s="264"/>
      <c r="G703" s="294"/>
      <c r="H703" s="294"/>
      <c r="I703" s="310"/>
    </row>
    <row r="704">
      <c r="A704" s="263"/>
      <c r="B704" s="263"/>
      <c r="C704" s="263"/>
      <c r="F704" s="264"/>
      <c r="G704" s="294"/>
      <c r="H704" s="294"/>
      <c r="I704" s="310"/>
    </row>
    <row r="705">
      <c r="A705" s="263"/>
      <c r="B705" s="263"/>
      <c r="C705" s="263"/>
      <c r="F705" s="264"/>
      <c r="G705" s="294"/>
      <c r="H705" s="294"/>
      <c r="I705" s="310"/>
    </row>
    <row r="706">
      <c r="A706" s="263"/>
      <c r="B706" s="263"/>
      <c r="C706" s="263"/>
      <c r="F706" s="264"/>
      <c r="G706" s="294"/>
      <c r="H706" s="294"/>
      <c r="I706" s="310"/>
    </row>
    <row r="707">
      <c r="A707" s="263"/>
      <c r="B707" s="263"/>
      <c r="C707" s="263"/>
      <c r="F707" s="264"/>
      <c r="G707" s="294"/>
      <c r="H707" s="294"/>
      <c r="I707" s="310"/>
    </row>
    <row r="708">
      <c r="A708" s="263"/>
      <c r="B708" s="263"/>
      <c r="C708" s="263"/>
      <c r="F708" s="264"/>
      <c r="G708" s="294"/>
      <c r="H708" s="294"/>
      <c r="I708" s="310"/>
    </row>
    <row r="709">
      <c r="A709" s="263"/>
      <c r="B709" s="263"/>
      <c r="C709" s="263"/>
      <c r="F709" s="264"/>
      <c r="G709" s="294"/>
      <c r="H709" s="294"/>
      <c r="I709" s="310"/>
    </row>
    <row r="710">
      <c r="A710" s="263"/>
      <c r="B710" s="263"/>
      <c r="C710" s="263"/>
      <c r="F710" s="264"/>
      <c r="G710" s="294"/>
      <c r="H710" s="294"/>
      <c r="I710" s="310"/>
    </row>
    <row r="711">
      <c r="A711" s="263"/>
      <c r="B711" s="263"/>
      <c r="C711" s="263"/>
      <c r="F711" s="264"/>
      <c r="G711" s="294"/>
      <c r="H711" s="294"/>
      <c r="I711" s="310"/>
    </row>
    <row r="712">
      <c r="A712" s="263"/>
      <c r="B712" s="263"/>
      <c r="C712" s="263"/>
      <c r="F712" s="264"/>
      <c r="G712" s="294"/>
      <c r="H712" s="294"/>
      <c r="I712" s="310"/>
    </row>
    <row r="713">
      <c r="A713" s="263"/>
      <c r="B713" s="263"/>
      <c r="C713" s="263"/>
      <c r="F713" s="264"/>
      <c r="G713" s="294"/>
      <c r="H713" s="294"/>
      <c r="I713" s="310"/>
    </row>
    <row r="714">
      <c r="A714" s="263"/>
      <c r="B714" s="263"/>
      <c r="C714" s="263"/>
      <c r="F714" s="264"/>
      <c r="G714" s="294"/>
      <c r="H714" s="294"/>
      <c r="I714" s="310"/>
    </row>
    <row r="715">
      <c r="A715" s="263"/>
      <c r="B715" s="263"/>
      <c r="C715" s="263"/>
      <c r="F715" s="264"/>
      <c r="G715" s="294"/>
      <c r="H715" s="294"/>
      <c r="I715" s="310"/>
    </row>
    <row r="716">
      <c r="A716" s="263"/>
      <c r="B716" s="263"/>
      <c r="C716" s="263"/>
      <c r="F716" s="264"/>
      <c r="G716" s="294"/>
      <c r="H716" s="294"/>
      <c r="I716" s="310"/>
    </row>
    <row r="717">
      <c r="A717" s="263"/>
      <c r="B717" s="263"/>
      <c r="C717" s="263"/>
      <c r="F717" s="264"/>
      <c r="G717" s="294"/>
      <c r="H717" s="294"/>
      <c r="I717" s="310"/>
    </row>
    <row r="718">
      <c r="A718" s="263"/>
      <c r="B718" s="263"/>
      <c r="C718" s="263"/>
      <c r="F718" s="264"/>
      <c r="G718" s="294"/>
      <c r="H718" s="294"/>
      <c r="I718" s="310"/>
    </row>
    <row r="719">
      <c r="A719" s="263"/>
      <c r="B719" s="263"/>
      <c r="C719" s="263"/>
      <c r="F719" s="264"/>
      <c r="G719" s="294"/>
      <c r="H719" s="294"/>
      <c r="I719" s="310"/>
    </row>
    <row r="720">
      <c r="A720" s="263"/>
      <c r="B720" s="263"/>
      <c r="C720" s="263"/>
      <c r="F720" s="264"/>
      <c r="G720" s="294"/>
      <c r="H720" s="294"/>
      <c r="I720" s="310"/>
    </row>
    <row r="721">
      <c r="A721" s="263"/>
      <c r="B721" s="263"/>
      <c r="C721" s="263"/>
      <c r="F721" s="264"/>
      <c r="G721" s="294"/>
      <c r="H721" s="294"/>
      <c r="I721" s="310"/>
    </row>
    <row r="722">
      <c r="A722" s="263"/>
      <c r="B722" s="263"/>
      <c r="C722" s="263"/>
      <c r="F722" s="264"/>
      <c r="G722" s="294"/>
      <c r="H722" s="294"/>
      <c r="I722" s="310"/>
    </row>
    <row r="723">
      <c r="A723" s="263"/>
      <c r="B723" s="263"/>
      <c r="C723" s="263"/>
      <c r="F723" s="264"/>
      <c r="G723" s="294"/>
      <c r="H723" s="294"/>
      <c r="I723" s="310"/>
    </row>
    <row r="724">
      <c r="A724" s="263"/>
      <c r="B724" s="263"/>
      <c r="C724" s="263"/>
      <c r="F724" s="264"/>
      <c r="G724" s="294"/>
      <c r="H724" s="294"/>
      <c r="I724" s="310"/>
    </row>
    <row r="725">
      <c r="A725" s="263"/>
      <c r="B725" s="263"/>
      <c r="C725" s="263"/>
      <c r="F725" s="264"/>
      <c r="G725" s="294"/>
      <c r="H725" s="294"/>
      <c r="I725" s="310"/>
    </row>
    <row r="726">
      <c r="A726" s="263"/>
      <c r="B726" s="263"/>
      <c r="C726" s="263"/>
      <c r="F726" s="264"/>
      <c r="G726" s="294"/>
      <c r="H726" s="294"/>
      <c r="I726" s="310"/>
    </row>
    <row r="727">
      <c r="A727" s="263"/>
      <c r="B727" s="263"/>
      <c r="C727" s="263"/>
      <c r="F727" s="264"/>
      <c r="G727" s="294"/>
      <c r="H727" s="294"/>
      <c r="I727" s="310"/>
    </row>
    <row r="728">
      <c r="A728" s="263"/>
      <c r="B728" s="263"/>
      <c r="C728" s="263"/>
      <c r="F728" s="264"/>
      <c r="G728" s="294"/>
      <c r="H728" s="294"/>
      <c r="I728" s="310"/>
    </row>
    <row r="729">
      <c r="A729" s="263"/>
      <c r="B729" s="263"/>
      <c r="C729" s="263"/>
      <c r="F729" s="264"/>
      <c r="G729" s="294"/>
      <c r="H729" s="294"/>
      <c r="I729" s="310"/>
    </row>
    <row r="730">
      <c r="A730" s="263"/>
      <c r="B730" s="263"/>
      <c r="C730" s="263"/>
      <c r="F730" s="264"/>
      <c r="G730" s="294"/>
      <c r="H730" s="294"/>
      <c r="I730" s="310"/>
    </row>
    <row r="731">
      <c r="A731" s="263"/>
      <c r="B731" s="263"/>
      <c r="C731" s="263"/>
      <c r="F731" s="264"/>
      <c r="G731" s="294"/>
      <c r="H731" s="294"/>
      <c r="I731" s="310"/>
    </row>
    <row r="732">
      <c r="A732" s="263"/>
      <c r="B732" s="263"/>
      <c r="C732" s="263"/>
      <c r="F732" s="264"/>
      <c r="G732" s="294"/>
      <c r="H732" s="294"/>
      <c r="I732" s="310"/>
    </row>
    <row r="733">
      <c r="A733" s="263"/>
      <c r="B733" s="263"/>
      <c r="C733" s="263"/>
      <c r="F733" s="264"/>
      <c r="G733" s="294"/>
      <c r="H733" s="294"/>
      <c r="I733" s="310"/>
    </row>
    <row r="734">
      <c r="A734" s="263"/>
      <c r="B734" s="263"/>
      <c r="C734" s="263"/>
      <c r="F734" s="264"/>
      <c r="G734" s="294"/>
      <c r="H734" s="294"/>
      <c r="I734" s="310"/>
    </row>
    <row r="735">
      <c r="A735" s="263"/>
      <c r="B735" s="263"/>
      <c r="C735" s="263"/>
      <c r="F735" s="264"/>
      <c r="G735" s="294"/>
      <c r="H735" s="294"/>
      <c r="I735" s="310"/>
    </row>
    <row r="736">
      <c r="A736" s="263"/>
      <c r="B736" s="263"/>
      <c r="C736" s="263"/>
      <c r="F736" s="264"/>
      <c r="G736" s="294"/>
      <c r="H736" s="294"/>
      <c r="I736" s="310"/>
    </row>
    <row r="737">
      <c r="A737" s="263"/>
      <c r="B737" s="263"/>
      <c r="C737" s="263"/>
      <c r="F737" s="264"/>
      <c r="G737" s="294"/>
      <c r="H737" s="294"/>
      <c r="I737" s="310"/>
    </row>
    <row r="738">
      <c r="A738" s="263"/>
      <c r="B738" s="263"/>
      <c r="C738" s="263"/>
      <c r="F738" s="264"/>
      <c r="G738" s="294"/>
      <c r="H738" s="294"/>
      <c r="I738" s="310"/>
    </row>
    <row r="739">
      <c r="A739" s="263"/>
      <c r="B739" s="263"/>
      <c r="C739" s="263"/>
      <c r="F739" s="264"/>
      <c r="G739" s="294"/>
      <c r="H739" s="294"/>
      <c r="I739" s="310"/>
    </row>
    <row r="740">
      <c r="A740" s="263"/>
      <c r="B740" s="263"/>
      <c r="C740" s="263"/>
      <c r="F740" s="264"/>
      <c r="G740" s="294"/>
      <c r="H740" s="294"/>
      <c r="I740" s="310"/>
    </row>
    <row r="741">
      <c r="A741" s="263"/>
      <c r="B741" s="263"/>
      <c r="C741" s="263"/>
      <c r="F741" s="264"/>
      <c r="G741" s="294"/>
      <c r="H741" s="294"/>
      <c r="I741" s="310"/>
    </row>
    <row r="742">
      <c r="A742" s="263"/>
      <c r="B742" s="263"/>
      <c r="C742" s="263"/>
      <c r="F742" s="264"/>
      <c r="G742" s="294"/>
      <c r="H742" s="294"/>
      <c r="I742" s="310"/>
    </row>
    <row r="743">
      <c r="A743" s="263"/>
      <c r="B743" s="263"/>
      <c r="C743" s="263"/>
      <c r="F743" s="264"/>
      <c r="G743" s="294"/>
      <c r="H743" s="294"/>
      <c r="I743" s="310"/>
    </row>
    <row r="744">
      <c r="A744" s="263"/>
      <c r="B744" s="263"/>
      <c r="C744" s="263"/>
      <c r="F744" s="264"/>
      <c r="G744" s="294"/>
      <c r="H744" s="294"/>
      <c r="I744" s="310"/>
    </row>
    <row r="745">
      <c r="A745" s="263"/>
      <c r="B745" s="263"/>
      <c r="C745" s="263"/>
      <c r="F745" s="264"/>
      <c r="G745" s="294"/>
      <c r="H745" s="294"/>
      <c r="I745" s="310"/>
    </row>
    <row r="746">
      <c r="A746" s="263"/>
      <c r="B746" s="263"/>
      <c r="C746" s="263"/>
      <c r="F746" s="264"/>
      <c r="G746" s="294"/>
      <c r="H746" s="294"/>
      <c r="I746" s="310"/>
    </row>
    <row r="747">
      <c r="A747" s="263"/>
      <c r="B747" s="263"/>
      <c r="C747" s="263"/>
      <c r="F747" s="264"/>
      <c r="G747" s="294"/>
      <c r="H747" s="294"/>
      <c r="I747" s="310"/>
    </row>
    <row r="748">
      <c r="A748" s="263"/>
      <c r="B748" s="263"/>
      <c r="C748" s="263"/>
      <c r="F748" s="264"/>
      <c r="G748" s="294"/>
      <c r="H748" s="294"/>
      <c r="I748" s="310"/>
    </row>
    <row r="749">
      <c r="A749" s="263"/>
      <c r="B749" s="263"/>
      <c r="C749" s="263"/>
      <c r="F749" s="264"/>
      <c r="G749" s="294"/>
      <c r="H749" s="294"/>
      <c r="I749" s="310"/>
    </row>
    <row r="750">
      <c r="A750" s="263"/>
      <c r="B750" s="263"/>
      <c r="C750" s="263"/>
      <c r="F750" s="264"/>
      <c r="G750" s="294"/>
      <c r="H750" s="294"/>
      <c r="I750" s="310"/>
    </row>
    <row r="751">
      <c r="A751" s="263"/>
      <c r="B751" s="263"/>
      <c r="C751" s="263"/>
      <c r="F751" s="264"/>
      <c r="G751" s="294"/>
      <c r="H751" s="294"/>
      <c r="I751" s="310"/>
    </row>
    <row r="752">
      <c r="A752" s="263"/>
      <c r="B752" s="263"/>
      <c r="C752" s="263"/>
      <c r="F752" s="264"/>
      <c r="G752" s="294"/>
      <c r="H752" s="294"/>
      <c r="I752" s="310"/>
    </row>
    <row r="753">
      <c r="A753" s="263"/>
      <c r="B753" s="263"/>
      <c r="C753" s="263"/>
      <c r="F753" s="264"/>
      <c r="G753" s="294"/>
      <c r="H753" s="294"/>
      <c r="I753" s="310"/>
    </row>
    <row r="754">
      <c r="A754" s="263"/>
      <c r="B754" s="263"/>
      <c r="C754" s="263"/>
      <c r="F754" s="264"/>
      <c r="G754" s="294"/>
      <c r="H754" s="294"/>
      <c r="I754" s="310"/>
    </row>
    <row r="755">
      <c r="A755" s="263"/>
      <c r="B755" s="263"/>
      <c r="C755" s="263"/>
      <c r="F755" s="264"/>
      <c r="G755" s="294"/>
      <c r="H755" s="294"/>
      <c r="I755" s="310"/>
    </row>
    <row r="756">
      <c r="A756" s="263"/>
      <c r="B756" s="263"/>
      <c r="C756" s="263"/>
      <c r="F756" s="264"/>
      <c r="G756" s="294"/>
      <c r="H756" s="294"/>
      <c r="I756" s="310"/>
    </row>
    <row r="757">
      <c r="A757" s="263"/>
      <c r="B757" s="263"/>
      <c r="C757" s="263"/>
      <c r="F757" s="264"/>
      <c r="G757" s="294"/>
      <c r="H757" s="294"/>
      <c r="I757" s="310"/>
    </row>
    <row r="758">
      <c r="A758" s="263"/>
      <c r="B758" s="263"/>
      <c r="C758" s="263"/>
      <c r="F758" s="264"/>
      <c r="G758" s="294"/>
      <c r="H758" s="294"/>
      <c r="I758" s="310"/>
    </row>
    <row r="759">
      <c r="A759" s="263"/>
      <c r="B759" s="263"/>
      <c r="C759" s="263"/>
      <c r="F759" s="264"/>
      <c r="G759" s="294"/>
      <c r="H759" s="294"/>
      <c r="I759" s="310"/>
    </row>
    <row r="760">
      <c r="A760" s="263"/>
      <c r="B760" s="263"/>
      <c r="C760" s="263"/>
      <c r="F760" s="264"/>
      <c r="G760" s="294"/>
      <c r="H760" s="294"/>
      <c r="I760" s="310"/>
    </row>
    <row r="761">
      <c r="A761" s="263"/>
      <c r="B761" s="263"/>
      <c r="C761" s="263"/>
      <c r="F761" s="264"/>
      <c r="G761" s="294"/>
      <c r="H761" s="294"/>
      <c r="I761" s="310"/>
    </row>
    <row r="762">
      <c r="A762" s="263"/>
      <c r="B762" s="263"/>
      <c r="C762" s="263"/>
      <c r="F762" s="264"/>
      <c r="G762" s="294"/>
      <c r="H762" s="294"/>
      <c r="I762" s="310"/>
    </row>
    <row r="763">
      <c r="A763" s="263"/>
      <c r="B763" s="263"/>
      <c r="C763" s="263"/>
      <c r="F763" s="264"/>
      <c r="G763" s="294"/>
      <c r="H763" s="294"/>
      <c r="I763" s="310"/>
    </row>
    <row r="764">
      <c r="A764" s="263"/>
      <c r="B764" s="263"/>
      <c r="C764" s="263"/>
      <c r="F764" s="264"/>
      <c r="G764" s="294"/>
      <c r="H764" s="294"/>
      <c r="I764" s="310"/>
    </row>
    <row r="765">
      <c r="A765" s="263"/>
      <c r="B765" s="263"/>
      <c r="C765" s="263"/>
      <c r="F765" s="264"/>
      <c r="G765" s="294"/>
      <c r="H765" s="294"/>
      <c r="I765" s="310"/>
    </row>
    <row r="766">
      <c r="A766" s="263"/>
      <c r="B766" s="263"/>
      <c r="C766" s="263"/>
      <c r="F766" s="264"/>
      <c r="G766" s="294"/>
      <c r="H766" s="294"/>
      <c r="I766" s="310"/>
    </row>
    <row r="767">
      <c r="A767" s="263"/>
      <c r="B767" s="263"/>
      <c r="C767" s="263"/>
      <c r="F767" s="264"/>
      <c r="G767" s="294"/>
      <c r="H767" s="294"/>
      <c r="I767" s="310"/>
    </row>
    <row r="768">
      <c r="A768" s="263"/>
      <c r="B768" s="263"/>
      <c r="C768" s="263"/>
      <c r="F768" s="264"/>
      <c r="G768" s="294"/>
      <c r="H768" s="294"/>
      <c r="I768" s="310"/>
    </row>
    <row r="769">
      <c r="A769" s="263"/>
      <c r="B769" s="263"/>
      <c r="C769" s="263"/>
      <c r="F769" s="264"/>
      <c r="G769" s="294"/>
      <c r="H769" s="294"/>
      <c r="I769" s="310"/>
    </row>
    <row r="770">
      <c r="A770" s="263"/>
      <c r="B770" s="263"/>
      <c r="C770" s="263"/>
      <c r="F770" s="264"/>
      <c r="G770" s="294"/>
      <c r="H770" s="294"/>
      <c r="I770" s="310"/>
    </row>
    <row r="771">
      <c r="A771" s="263"/>
      <c r="B771" s="263"/>
      <c r="C771" s="263"/>
      <c r="F771" s="264"/>
      <c r="G771" s="294"/>
      <c r="H771" s="294"/>
      <c r="I771" s="310"/>
    </row>
    <row r="772">
      <c r="A772" s="263"/>
      <c r="B772" s="263"/>
      <c r="C772" s="263"/>
      <c r="F772" s="264"/>
      <c r="G772" s="294"/>
      <c r="H772" s="294"/>
      <c r="I772" s="310"/>
    </row>
    <row r="773">
      <c r="A773" s="263"/>
      <c r="B773" s="263"/>
      <c r="C773" s="263"/>
      <c r="F773" s="264"/>
      <c r="G773" s="294"/>
      <c r="H773" s="294"/>
      <c r="I773" s="310"/>
    </row>
    <row r="774">
      <c r="A774" s="263"/>
      <c r="B774" s="263"/>
      <c r="C774" s="263"/>
      <c r="F774" s="264"/>
      <c r="G774" s="294"/>
      <c r="H774" s="294"/>
      <c r="I774" s="310"/>
    </row>
    <row r="775">
      <c r="A775" s="263"/>
      <c r="B775" s="263"/>
      <c r="C775" s="263"/>
      <c r="F775" s="264"/>
      <c r="G775" s="294"/>
      <c r="H775" s="294"/>
      <c r="I775" s="310"/>
    </row>
    <row r="776">
      <c r="A776" s="263"/>
      <c r="B776" s="263"/>
      <c r="C776" s="263"/>
      <c r="F776" s="264"/>
      <c r="G776" s="294"/>
      <c r="H776" s="294"/>
      <c r="I776" s="310"/>
    </row>
    <row r="777">
      <c r="A777" s="263"/>
      <c r="B777" s="263"/>
      <c r="C777" s="263"/>
      <c r="F777" s="264"/>
      <c r="G777" s="294"/>
      <c r="H777" s="294"/>
      <c r="I777" s="310"/>
    </row>
    <row r="778">
      <c r="A778" s="263"/>
      <c r="B778" s="263"/>
      <c r="C778" s="263"/>
      <c r="F778" s="264"/>
      <c r="G778" s="294"/>
      <c r="H778" s="294"/>
      <c r="I778" s="310"/>
    </row>
    <row r="779">
      <c r="A779" s="263"/>
      <c r="B779" s="263"/>
      <c r="C779" s="263"/>
      <c r="F779" s="264"/>
      <c r="G779" s="294"/>
      <c r="H779" s="294"/>
      <c r="I779" s="310"/>
    </row>
    <row r="780">
      <c r="A780" s="263"/>
      <c r="B780" s="263"/>
      <c r="C780" s="263"/>
      <c r="F780" s="264"/>
      <c r="G780" s="294"/>
      <c r="H780" s="294"/>
      <c r="I780" s="310"/>
    </row>
    <row r="781">
      <c r="A781" s="263"/>
      <c r="B781" s="263"/>
      <c r="C781" s="263"/>
      <c r="F781" s="264"/>
      <c r="G781" s="294"/>
      <c r="H781" s="294"/>
      <c r="I781" s="310"/>
    </row>
    <row r="782">
      <c r="A782" s="263"/>
      <c r="B782" s="263"/>
      <c r="C782" s="263"/>
      <c r="F782" s="264"/>
      <c r="G782" s="294"/>
      <c r="H782" s="294"/>
      <c r="I782" s="310"/>
    </row>
    <row r="783">
      <c r="A783" s="263"/>
      <c r="B783" s="263"/>
      <c r="C783" s="263"/>
      <c r="F783" s="264"/>
      <c r="G783" s="294"/>
      <c r="H783" s="294"/>
      <c r="I783" s="310"/>
    </row>
    <row r="784">
      <c r="A784" s="263"/>
      <c r="B784" s="263"/>
      <c r="C784" s="263"/>
      <c r="F784" s="264"/>
      <c r="G784" s="294"/>
      <c r="H784" s="294"/>
      <c r="I784" s="310"/>
    </row>
    <row r="785">
      <c r="A785" s="263"/>
      <c r="B785" s="263"/>
      <c r="C785" s="263"/>
      <c r="F785" s="264"/>
      <c r="G785" s="294"/>
      <c r="H785" s="294"/>
      <c r="I785" s="310"/>
    </row>
    <row r="786">
      <c r="A786" s="263"/>
      <c r="B786" s="263"/>
      <c r="C786" s="263"/>
      <c r="F786" s="264"/>
      <c r="G786" s="294"/>
      <c r="H786" s="294"/>
      <c r="I786" s="310"/>
    </row>
    <row r="787">
      <c r="A787" s="263"/>
      <c r="B787" s="263"/>
      <c r="C787" s="263"/>
      <c r="F787" s="264"/>
      <c r="G787" s="294"/>
      <c r="H787" s="294"/>
      <c r="I787" s="310"/>
    </row>
    <row r="788">
      <c r="A788" s="263"/>
      <c r="B788" s="263"/>
      <c r="C788" s="263"/>
      <c r="F788" s="264"/>
      <c r="G788" s="294"/>
      <c r="H788" s="294"/>
      <c r="I788" s="310"/>
    </row>
    <row r="789">
      <c r="A789" s="263"/>
      <c r="B789" s="263"/>
      <c r="C789" s="263"/>
      <c r="F789" s="264"/>
      <c r="G789" s="294"/>
      <c r="H789" s="294"/>
      <c r="I789" s="310"/>
    </row>
    <row r="790">
      <c r="A790" s="263"/>
      <c r="B790" s="263"/>
      <c r="C790" s="263"/>
      <c r="F790" s="264"/>
      <c r="G790" s="294"/>
      <c r="H790" s="294"/>
      <c r="I790" s="310"/>
    </row>
    <row r="791">
      <c r="A791" s="263"/>
      <c r="B791" s="263"/>
      <c r="C791" s="263"/>
      <c r="F791" s="264"/>
      <c r="G791" s="294"/>
      <c r="H791" s="294"/>
      <c r="I791" s="310"/>
    </row>
    <row r="792">
      <c r="A792" s="263"/>
      <c r="B792" s="263"/>
      <c r="C792" s="263"/>
      <c r="F792" s="264"/>
      <c r="G792" s="294"/>
      <c r="H792" s="294"/>
      <c r="I792" s="310"/>
    </row>
    <row r="793">
      <c r="A793" s="263"/>
      <c r="B793" s="263"/>
      <c r="C793" s="263"/>
      <c r="F793" s="264"/>
      <c r="G793" s="294"/>
      <c r="H793" s="294"/>
      <c r="I793" s="310"/>
    </row>
    <row r="794">
      <c r="A794" s="263"/>
      <c r="B794" s="263"/>
      <c r="C794" s="263"/>
      <c r="F794" s="264"/>
      <c r="G794" s="294"/>
      <c r="H794" s="294"/>
      <c r="I794" s="310"/>
    </row>
    <row r="795">
      <c r="A795" s="263"/>
      <c r="B795" s="263"/>
      <c r="C795" s="263"/>
      <c r="F795" s="264"/>
      <c r="G795" s="294"/>
      <c r="H795" s="294"/>
      <c r="I795" s="310"/>
    </row>
    <row r="796">
      <c r="A796" s="263"/>
      <c r="B796" s="263"/>
      <c r="C796" s="263"/>
      <c r="F796" s="264"/>
      <c r="G796" s="294"/>
      <c r="H796" s="294"/>
      <c r="I796" s="310"/>
    </row>
    <row r="797">
      <c r="A797" s="263"/>
      <c r="B797" s="263"/>
      <c r="C797" s="263"/>
      <c r="F797" s="264"/>
      <c r="G797" s="294"/>
      <c r="H797" s="294"/>
      <c r="I797" s="310"/>
    </row>
    <row r="798">
      <c r="A798" s="263"/>
      <c r="B798" s="263"/>
      <c r="C798" s="263"/>
      <c r="F798" s="264"/>
      <c r="G798" s="294"/>
      <c r="H798" s="294"/>
      <c r="I798" s="310"/>
    </row>
    <row r="799">
      <c r="A799" s="263"/>
      <c r="B799" s="263"/>
      <c r="C799" s="263"/>
      <c r="F799" s="264"/>
      <c r="G799" s="294"/>
      <c r="H799" s="294"/>
      <c r="I799" s="310"/>
    </row>
    <row r="800">
      <c r="A800" s="263"/>
      <c r="B800" s="263"/>
      <c r="C800" s="263"/>
      <c r="F800" s="264"/>
      <c r="G800" s="294"/>
      <c r="H800" s="294"/>
      <c r="I800" s="310"/>
    </row>
    <row r="801">
      <c r="A801" s="263"/>
      <c r="B801" s="263"/>
      <c r="C801" s="263"/>
      <c r="F801" s="264"/>
      <c r="G801" s="294"/>
      <c r="H801" s="294"/>
      <c r="I801" s="310"/>
    </row>
    <row r="802">
      <c r="A802" s="263"/>
      <c r="B802" s="263"/>
      <c r="C802" s="263"/>
      <c r="F802" s="264"/>
      <c r="G802" s="294"/>
      <c r="H802" s="294"/>
      <c r="I802" s="310"/>
    </row>
    <row r="803">
      <c r="A803" s="263"/>
      <c r="B803" s="263"/>
      <c r="C803" s="263"/>
      <c r="F803" s="264"/>
      <c r="G803" s="294"/>
      <c r="H803" s="294"/>
      <c r="I803" s="310"/>
    </row>
    <row r="804">
      <c r="A804" s="263"/>
      <c r="B804" s="263"/>
      <c r="C804" s="263"/>
      <c r="F804" s="264"/>
      <c r="G804" s="294"/>
      <c r="H804" s="294"/>
      <c r="I804" s="310"/>
    </row>
    <row r="805">
      <c r="A805" s="263"/>
      <c r="B805" s="263"/>
      <c r="C805" s="263"/>
      <c r="F805" s="264"/>
      <c r="G805" s="294"/>
      <c r="H805" s="294"/>
      <c r="I805" s="310"/>
    </row>
    <row r="806">
      <c r="A806" s="263"/>
      <c r="B806" s="263"/>
      <c r="C806" s="263"/>
      <c r="F806" s="264"/>
      <c r="G806" s="294"/>
      <c r="H806" s="294"/>
      <c r="I806" s="310"/>
    </row>
    <row r="807">
      <c r="A807" s="263"/>
      <c r="B807" s="263"/>
      <c r="C807" s="263"/>
      <c r="F807" s="264"/>
      <c r="G807" s="294"/>
      <c r="H807" s="294"/>
      <c r="I807" s="310"/>
    </row>
    <row r="808">
      <c r="A808" s="263"/>
      <c r="B808" s="263"/>
      <c r="C808" s="263"/>
      <c r="F808" s="264"/>
      <c r="G808" s="294"/>
      <c r="H808" s="294"/>
      <c r="I808" s="310"/>
    </row>
    <row r="809">
      <c r="A809" s="263"/>
      <c r="B809" s="263"/>
      <c r="C809" s="263"/>
      <c r="F809" s="264"/>
      <c r="G809" s="294"/>
      <c r="H809" s="294"/>
      <c r="I809" s="310"/>
    </row>
    <row r="810">
      <c r="A810" s="263"/>
      <c r="B810" s="263"/>
      <c r="C810" s="263"/>
      <c r="F810" s="264"/>
      <c r="G810" s="294"/>
      <c r="H810" s="294"/>
      <c r="I810" s="310"/>
    </row>
    <row r="811">
      <c r="A811" s="263"/>
      <c r="B811" s="263"/>
      <c r="C811" s="263"/>
      <c r="F811" s="264"/>
      <c r="G811" s="294"/>
      <c r="H811" s="294"/>
      <c r="I811" s="310"/>
    </row>
    <row r="812">
      <c r="A812" s="263"/>
      <c r="B812" s="263"/>
      <c r="C812" s="263"/>
      <c r="F812" s="264"/>
      <c r="G812" s="294"/>
      <c r="H812" s="294"/>
      <c r="I812" s="310"/>
    </row>
    <row r="813">
      <c r="A813" s="263"/>
      <c r="B813" s="263"/>
      <c r="C813" s="263"/>
      <c r="F813" s="264"/>
      <c r="G813" s="294"/>
      <c r="H813" s="294"/>
      <c r="I813" s="310"/>
    </row>
    <row r="814">
      <c r="A814" s="263"/>
      <c r="B814" s="263"/>
      <c r="C814" s="263"/>
      <c r="F814" s="264"/>
      <c r="G814" s="294"/>
      <c r="H814" s="294"/>
      <c r="I814" s="310"/>
    </row>
    <row r="815">
      <c r="A815" s="263"/>
      <c r="B815" s="263"/>
      <c r="C815" s="263"/>
      <c r="F815" s="264"/>
      <c r="G815" s="294"/>
      <c r="H815" s="294"/>
      <c r="I815" s="310"/>
    </row>
    <row r="816">
      <c r="A816" s="263"/>
      <c r="B816" s="263"/>
      <c r="C816" s="263"/>
      <c r="F816" s="264"/>
      <c r="G816" s="294"/>
      <c r="H816" s="294"/>
      <c r="I816" s="310"/>
    </row>
    <row r="817">
      <c r="A817" s="263"/>
      <c r="B817" s="263"/>
      <c r="C817" s="263"/>
      <c r="F817" s="264"/>
      <c r="G817" s="294"/>
      <c r="H817" s="294"/>
      <c r="I817" s="310"/>
    </row>
    <row r="818">
      <c r="A818" s="263"/>
      <c r="B818" s="263"/>
      <c r="C818" s="263"/>
      <c r="F818" s="264"/>
      <c r="G818" s="294"/>
      <c r="H818" s="294"/>
      <c r="I818" s="310"/>
    </row>
    <row r="819">
      <c r="A819" s="263"/>
      <c r="B819" s="263"/>
      <c r="C819" s="263"/>
      <c r="F819" s="264"/>
      <c r="G819" s="294"/>
      <c r="H819" s="294"/>
      <c r="I819" s="310"/>
    </row>
    <row r="820">
      <c r="A820" s="263"/>
      <c r="B820" s="263"/>
      <c r="C820" s="263"/>
      <c r="F820" s="264"/>
      <c r="G820" s="294"/>
      <c r="H820" s="294"/>
      <c r="I820" s="310"/>
    </row>
    <row r="821">
      <c r="A821" s="263"/>
      <c r="B821" s="263"/>
      <c r="C821" s="263"/>
      <c r="F821" s="264"/>
      <c r="G821" s="294"/>
      <c r="H821" s="294"/>
      <c r="I821" s="310"/>
    </row>
    <row r="822">
      <c r="A822" s="263"/>
      <c r="B822" s="263"/>
      <c r="C822" s="263"/>
      <c r="F822" s="264"/>
      <c r="G822" s="294"/>
      <c r="H822" s="294"/>
      <c r="I822" s="310"/>
    </row>
    <row r="823">
      <c r="A823" s="263"/>
      <c r="B823" s="263"/>
      <c r="C823" s="263"/>
      <c r="F823" s="264"/>
      <c r="G823" s="294"/>
      <c r="H823" s="294"/>
      <c r="I823" s="310"/>
    </row>
    <row r="824">
      <c r="A824" s="263"/>
      <c r="B824" s="263"/>
      <c r="C824" s="263"/>
      <c r="F824" s="264"/>
      <c r="G824" s="294"/>
      <c r="H824" s="294"/>
      <c r="I824" s="310"/>
    </row>
    <row r="825">
      <c r="A825" s="263"/>
      <c r="B825" s="263"/>
      <c r="C825" s="263"/>
      <c r="F825" s="264"/>
      <c r="G825" s="294"/>
      <c r="H825" s="294"/>
      <c r="I825" s="310"/>
    </row>
    <row r="826">
      <c r="A826" s="263"/>
      <c r="B826" s="263"/>
      <c r="C826" s="263"/>
      <c r="F826" s="264"/>
      <c r="G826" s="294"/>
      <c r="H826" s="294"/>
      <c r="I826" s="310"/>
    </row>
    <row r="827">
      <c r="A827" s="263"/>
      <c r="B827" s="263"/>
      <c r="C827" s="263"/>
      <c r="F827" s="264"/>
      <c r="G827" s="294"/>
      <c r="H827" s="294"/>
      <c r="I827" s="310"/>
    </row>
    <row r="828">
      <c r="A828" s="263"/>
      <c r="B828" s="263"/>
      <c r="C828" s="263"/>
      <c r="F828" s="264"/>
      <c r="G828" s="294"/>
      <c r="H828" s="294"/>
      <c r="I828" s="310"/>
    </row>
    <row r="829">
      <c r="A829" s="263"/>
      <c r="B829" s="263"/>
      <c r="C829" s="263"/>
      <c r="F829" s="264"/>
      <c r="G829" s="294"/>
      <c r="H829" s="294"/>
      <c r="I829" s="310"/>
    </row>
    <row r="830">
      <c r="A830" s="263"/>
      <c r="B830" s="263"/>
      <c r="C830" s="263"/>
      <c r="F830" s="264"/>
      <c r="G830" s="294"/>
      <c r="H830" s="294"/>
      <c r="I830" s="310"/>
    </row>
    <row r="831">
      <c r="A831" s="263"/>
      <c r="B831" s="263"/>
      <c r="C831" s="263"/>
      <c r="F831" s="264"/>
      <c r="G831" s="294"/>
      <c r="H831" s="294"/>
      <c r="I831" s="310"/>
    </row>
    <row r="832">
      <c r="A832" s="263"/>
      <c r="B832" s="263"/>
      <c r="C832" s="263"/>
      <c r="F832" s="264"/>
      <c r="G832" s="294"/>
      <c r="H832" s="294"/>
      <c r="I832" s="310"/>
    </row>
    <row r="833">
      <c r="A833" s="263"/>
      <c r="B833" s="263"/>
      <c r="C833" s="263"/>
      <c r="F833" s="264"/>
      <c r="G833" s="294"/>
      <c r="H833" s="294"/>
      <c r="I833" s="310"/>
    </row>
    <row r="834">
      <c r="A834" s="263"/>
      <c r="B834" s="263"/>
      <c r="C834" s="263"/>
      <c r="F834" s="264"/>
      <c r="G834" s="294"/>
      <c r="H834" s="294"/>
      <c r="I834" s="310"/>
    </row>
    <row r="835">
      <c r="A835" s="263"/>
      <c r="B835" s="263"/>
      <c r="C835" s="263"/>
      <c r="F835" s="264"/>
      <c r="G835" s="294"/>
      <c r="H835" s="294"/>
      <c r="I835" s="310"/>
    </row>
    <row r="836">
      <c r="A836" s="263"/>
      <c r="B836" s="263"/>
      <c r="C836" s="263"/>
      <c r="F836" s="264"/>
      <c r="G836" s="294"/>
      <c r="H836" s="294"/>
      <c r="I836" s="310"/>
    </row>
    <row r="837">
      <c r="A837" s="263"/>
      <c r="B837" s="263"/>
      <c r="C837" s="263"/>
      <c r="F837" s="264"/>
      <c r="G837" s="294"/>
      <c r="H837" s="294"/>
      <c r="I837" s="310"/>
    </row>
    <row r="838">
      <c r="A838" s="263"/>
      <c r="B838" s="263"/>
      <c r="C838" s="263"/>
      <c r="F838" s="264"/>
      <c r="G838" s="294"/>
      <c r="H838" s="294"/>
      <c r="I838" s="310"/>
    </row>
    <row r="839">
      <c r="A839" s="263"/>
      <c r="B839" s="263"/>
      <c r="C839" s="263"/>
      <c r="F839" s="264"/>
      <c r="G839" s="294"/>
      <c r="H839" s="294"/>
      <c r="I839" s="310"/>
    </row>
    <row r="840">
      <c r="A840" s="263"/>
      <c r="B840" s="263"/>
      <c r="C840" s="263"/>
      <c r="F840" s="264"/>
      <c r="G840" s="294"/>
      <c r="H840" s="294"/>
      <c r="I840" s="310"/>
    </row>
    <row r="841">
      <c r="A841" s="263"/>
      <c r="B841" s="263"/>
      <c r="C841" s="263"/>
      <c r="F841" s="264"/>
      <c r="G841" s="294"/>
      <c r="H841" s="294"/>
      <c r="I841" s="310"/>
    </row>
    <row r="842">
      <c r="A842" s="263"/>
      <c r="B842" s="263"/>
      <c r="C842" s="263"/>
      <c r="F842" s="264"/>
      <c r="G842" s="294"/>
      <c r="H842" s="294"/>
      <c r="I842" s="310"/>
    </row>
    <row r="843">
      <c r="A843" s="263"/>
      <c r="B843" s="263"/>
      <c r="C843" s="263"/>
      <c r="F843" s="264"/>
      <c r="G843" s="294"/>
      <c r="H843" s="294"/>
      <c r="I843" s="310"/>
    </row>
    <row r="844">
      <c r="A844" s="263"/>
      <c r="B844" s="263"/>
      <c r="C844" s="263"/>
      <c r="F844" s="264"/>
      <c r="G844" s="294"/>
      <c r="H844" s="294"/>
      <c r="I844" s="310"/>
    </row>
    <row r="845">
      <c r="A845" s="263"/>
      <c r="B845" s="263"/>
      <c r="C845" s="263"/>
      <c r="F845" s="264"/>
      <c r="G845" s="294"/>
      <c r="H845" s="294"/>
      <c r="I845" s="310"/>
    </row>
    <row r="846">
      <c r="A846" s="263"/>
      <c r="B846" s="263"/>
      <c r="C846" s="263"/>
      <c r="F846" s="264"/>
      <c r="G846" s="294"/>
      <c r="H846" s="294"/>
      <c r="I846" s="310"/>
    </row>
    <row r="847">
      <c r="A847" s="263"/>
      <c r="B847" s="263"/>
      <c r="C847" s="263"/>
      <c r="F847" s="264"/>
      <c r="G847" s="294"/>
      <c r="H847" s="294"/>
      <c r="I847" s="310"/>
    </row>
    <row r="848">
      <c r="A848" s="263"/>
      <c r="B848" s="263"/>
      <c r="C848" s="263"/>
      <c r="F848" s="264"/>
      <c r="G848" s="294"/>
      <c r="H848" s="294"/>
      <c r="I848" s="310"/>
    </row>
    <row r="849">
      <c r="A849" s="263"/>
      <c r="B849" s="263"/>
      <c r="C849" s="263"/>
      <c r="F849" s="264"/>
      <c r="G849" s="294"/>
      <c r="H849" s="294"/>
      <c r="I849" s="310"/>
    </row>
    <row r="850">
      <c r="A850" s="263"/>
      <c r="B850" s="263"/>
      <c r="C850" s="263"/>
      <c r="F850" s="264"/>
      <c r="G850" s="294"/>
      <c r="H850" s="294"/>
      <c r="I850" s="310"/>
    </row>
    <row r="851">
      <c r="A851" s="263"/>
      <c r="B851" s="263"/>
      <c r="C851" s="263"/>
      <c r="F851" s="264"/>
      <c r="G851" s="294"/>
      <c r="H851" s="294"/>
      <c r="I851" s="310"/>
    </row>
    <row r="852">
      <c r="A852" s="263"/>
      <c r="B852" s="263"/>
      <c r="C852" s="263"/>
      <c r="F852" s="264"/>
      <c r="G852" s="294"/>
      <c r="H852" s="294"/>
      <c r="I852" s="310"/>
    </row>
    <row r="853">
      <c r="A853" s="263"/>
      <c r="B853" s="263"/>
      <c r="C853" s="263"/>
      <c r="F853" s="264"/>
      <c r="G853" s="294"/>
      <c r="H853" s="294"/>
      <c r="I853" s="310"/>
    </row>
    <row r="854">
      <c r="A854" s="263"/>
      <c r="B854" s="263"/>
      <c r="C854" s="263"/>
      <c r="F854" s="264"/>
      <c r="G854" s="294"/>
      <c r="H854" s="294"/>
      <c r="I854" s="310"/>
    </row>
    <row r="855">
      <c r="A855" s="263"/>
      <c r="B855" s="263"/>
      <c r="C855" s="263"/>
      <c r="F855" s="264"/>
      <c r="G855" s="294"/>
      <c r="H855" s="294"/>
      <c r="I855" s="310"/>
    </row>
    <row r="856">
      <c r="A856" s="263"/>
      <c r="B856" s="263"/>
      <c r="C856" s="263"/>
      <c r="F856" s="264"/>
      <c r="G856" s="294"/>
      <c r="H856" s="294"/>
      <c r="I856" s="310"/>
    </row>
    <row r="857">
      <c r="A857" s="263"/>
      <c r="B857" s="263"/>
      <c r="C857" s="263"/>
      <c r="F857" s="264"/>
      <c r="G857" s="294"/>
      <c r="H857" s="294"/>
      <c r="I857" s="310"/>
    </row>
    <row r="858">
      <c r="A858" s="263"/>
      <c r="B858" s="263"/>
      <c r="C858" s="263"/>
      <c r="F858" s="264"/>
      <c r="G858" s="294"/>
      <c r="H858" s="294"/>
      <c r="I858" s="310"/>
    </row>
    <row r="859">
      <c r="A859" s="263"/>
      <c r="B859" s="263"/>
      <c r="C859" s="263"/>
      <c r="F859" s="264"/>
      <c r="G859" s="294"/>
      <c r="H859" s="294"/>
      <c r="I859" s="310"/>
    </row>
    <row r="860">
      <c r="A860" s="263"/>
      <c r="B860" s="263"/>
      <c r="C860" s="263"/>
      <c r="F860" s="264"/>
      <c r="G860" s="294"/>
      <c r="H860" s="294"/>
      <c r="I860" s="310"/>
    </row>
    <row r="861">
      <c r="A861" s="263"/>
      <c r="B861" s="263"/>
      <c r="C861" s="263"/>
      <c r="F861" s="264"/>
      <c r="G861" s="294"/>
      <c r="H861" s="294"/>
      <c r="I861" s="310"/>
    </row>
    <row r="862">
      <c r="A862" s="263"/>
      <c r="B862" s="263"/>
      <c r="C862" s="263"/>
      <c r="F862" s="264"/>
      <c r="G862" s="294"/>
      <c r="H862" s="294"/>
      <c r="I862" s="310"/>
    </row>
    <row r="863">
      <c r="A863" s="263"/>
      <c r="B863" s="263"/>
      <c r="C863" s="263"/>
      <c r="F863" s="264"/>
      <c r="G863" s="294"/>
      <c r="H863" s="294"/>
      <c r="I863" s="310"/>
    </row>
    <row r="864">
      <c r="A864" s="263"/>
      <c r="B864" s="263"/>
      <c r="C864" s="263"/>
      <c r="F864" s="264"/>
      <c r="G864" s="294"/>
      <c r="H864" s="294"/>
      <c r="I864" s="310"/>
    </row>
    <row r="865">
      <c r="A865" s="263"/>
      <c r="B865" s="263"/>
      <c r="C865" s="263"/>
      <c r="F865" s="264"/>
      <c r="G865" s="294"/>
      <c r="H865" s="294"/>
      <c r="I865" s="310"/>
    </row>
    <row r="866">
      <c r="A866" s="263"/>
      <c r="B866" s="263"/>
      <c r="C866" s="263"/>
      <c r="F866" s="264"/>
      <c r="G866" s="294"/>
      <c r="H866" s="294"/>
      <c r="I866" s="310"/>
    </row>
    <row r="867">
      <c r="A867" s="263"/>
      <c r="B867" s="263"/>
      <c r="C867" s="263"/>
      <c r="F867" s="264"/>
      <c r="G867" s="294"/>
      <c r="H867" s="294"/>
      <c r="I867" s="310"/>
    </row>
    <row r="868">
      <c r="A868" s="263"/>
      <c r="B868" s="263"/>
      <c r="C868" s="263"/>
      <c r="F868" s="264"/>
      <c r="G868" s="294"/>
      <c r="H868" s="294"/>
      <c r="I868" s="310"/>
    </row>
    <row r="869">
      <c r="A869" s="263"/>
      <c r="B869" s="263"/>
      <c r="C869" s="263"/>
      <c r="F869" s="264"/>
      <c r="G869" s="294"/>
      <c r="H869" s="294"/>
      <c r="I869" s="310"/>
    </row>
    <row r="870">
      <c r="A870" s="263"/>
      <c r="B870" s="263"/>
      <c r="C870" s="263"/>
      <c r="F870" s="264"/>
      <c r="G870" s="294"/>
      <c r="H870" s="294"/>
      <c r="I870" s="310"/>
    </row>
    <row r="871">
      <c r="A871" s="263"/>
      <c r="B871" s="263"/>
      <c r="C871" s="263"/>
      <c r="F871" s="264"/>
      <c r="G871" s="294"/>
      <c r="H871" s="294"/>
      <c r="I871" s="310"/>
    </row>
    <row r="872">
      <c r="A872" s="263"/>
      <c r="B872" s="263"/>
      <c r="C872" s="263"/>
      <c r="F872" s="264"/>
      <c r="G872" s="294"/>
      <c r="H872" s="294"/>
      <c r="I872" s="310"/>
    </row>
    <row r="873">
      <c r="A873" s="263"/>
      <c r="B873" s="263"/>
      <c r="C873" s="263"/>
      <c r="F873" s="264"/>
      <c r="G873" s="294"/>
      <c r="H873" s="294"/>
      <c r="I873" s="310"/>
    </row>
    <row r="874">
      <c r="A874" s="263"/>
      <c r="B874" s="263"/>
      <c r="C874" s="263"/>
      <c r="F874" s="264"/>
      <c r="G874" s="294"/>
      <c r="H874" s="294"/>
      <c r="I874" s="310"/>
    </row>
    <row r="875">
      <c r="A875" s="263"/>
      <c r="B875" s="263"/>
      <c r="C875" s="263"/>
      <c r="F875" s="264"/>
      <c r="G875" s="294"/>
      <c r="H875" s="294"/>
      <c r="I875" s="310"/>
    </row>
    <row r="876">
      <c r="A876" s="263"/>
      <c r="B876" s="263"/>
      <c r="C876" s="263"/>
      <c r="F876" s="264"/>
      <c r="G876" s="294"/>
      <c r="H876" s="294"/>
      <c r="I876" s="310"/>
    </row>
    <row r="877">
      <c r="A877" s="263"/>
      <c r="B877" s="263"/>
      <c r="C877" s="263"/>
      <c r="F877" s="264"/>
      <c r="G877" s="294"/>
      <c r="H877" s="294"/>
      <c r="I877" s="310"/>
    </row>
    <row r="878">
      <c r="A878" s="263"/>
      <c r="B878" s="263"/>
      <c r="C878" s="263"/>
      <c r="F878" s="264"/>
      <c r="G878" s="294"/>
      <c r="H878" s="294"/>
      <c r="I878" s="310"/>
    </row>
    <row r="879">
      <c r="A879" s="263"/>
      <c r="B879" s="263"/>
      <c r="C879" s="263"/>
      <c r="F879" s="264"/>
      <c r="G879" s="294"/>
      <c r="H879" s="294"/>
      <c r="I879" s="310"/>
    </row>
    <row r="880">
      <c r="A880" s="263"/>
      <c r="B880" s="263"/>
      <c r="C880" s="263"/>
      <c r="F880" s="264"/>
      <c r="G880" s="294"/>
      <c r="H880" s="294"/>
      <c r="I880" s="310"/>
    </row>
    <row r="881">
      <c r="A881" s="263"/>
      <c r="B881" s="263"/>
      <c r="C881" s="263"/>
      <c r="F881" s="264"/>
      <c r="G881" s="294"/>
      <c r="H881" s="294"/>
      <c r="I881" s="310"/>
    </row>
    <row r="882">
      <c r="A882" s="263"/>
      <c r="B882" s="263"/>
      <c r="C882" s="263"/>
      <c r="F882" s="264"/>
      <c r="G882" s="294"/>
      <c r="H882" s="294"/>
      <c r="I882" s="310"/>
    </row>
    <row r="883">
      <c r="A883" s="263"/>
      <c r="B883" s="263"/>
      <c r="C883" s="263"/>
      <c r="F883" s="264"/>
      <c r="G883" s="294"/>
      <c r="H883" s="294"/>
      <c r="I883" s="310"/>
    </row>
    <row r="884">
      <c r="A884" s="263"/>
      <c r="B884" s="263"/>
      <c r="C884" s="263"/>
      <c r="F884" s="264"/>
      <c r="G884" s="294"/>
      <c r="H884" s="294"/>
      <c r="I884" s="310"/>
    </row>
    <row r="885">
      <c r="A885" s="263"/>
      <c r="B885" s="263"/>
      <c r="C885" s="263"/>
      <c r="F885" s="264"/>
      <c r="G885" s="294"/>
      <c r="H885" s="294"/>
      <c r="I885" s="310"/>
    </row>
    <row r="886">
      <c r="A886" s="263"/>
      <c r="B886" s="263"/>
      <c r="C886" s="263"/>
      <c r="F886" s="264"/>
      <c r="G886" s="294"/>
      <c r="H886" s="294"/>
      <c r="I886" s="310"/>
    </row>
    <row r="887">
      <c r="A887" s="263"/>
      <c r="B887" s="263"/>
      <c r="C887" s="263"/>
      <c r="F887" s="264"/>
      <c r="G887" s="294"/>
      <c r="H887" s="294"/>
      <c r="I887" s="310"/>
    </row>
    <row r="888">
      <c r="A888" s="263"/>
      <c r="B888" s="263"/>
      <c r="C888" s="263"/>
      <c r="F888" s="264"/>
      <c r="G888" s="294"/>
      <c r="H888" s="294"/>
      <c r="I888" s="310"/>
    </row>
    <row r="889">
      <c r="A889" s="263"/>
      <c r="B889" s="263"/>
      <c r="C889" s="263"/>
      <c r="F889" s="264"/>
      <c r="G889" s="294"/>
      <c r="H889" s="294"/>
      <c r="I889" s="310"/>
    </row>
    <row r="890">
      <c r="A890" s="263"/>
      <c r="B890" s="263"/>
      <c r="C890" s="263"/>
      <c r="F890" s="264"/>
      <c r="G890" s="294"/>
      <c r="H890" s="294"/>
      <c r="I890" s="310"/>
    </row>
    <row r="891">
      <c r="A891" s="263"/>
      <c r="B891" s="263"/>
      <c r="C891" s="263"/>
      <c r="F891" s="264"/>
      <c r="G891" s="294"/>
      <c r="H891" s="294"/>
      <c r="I891" s="310"/>
    </row>
    <row r="892">
      <c r="A892" s="263"/>
      <c r="B892" s="263"/>
      <c r="C892" s="263"/>
      <c r="F892" s="264"/>
      <c r="G892" s="294"/>
      <c r="H892" s="294"/>
      <c r="I892" s="310"/>
    </row>
    <row r="893">
      <c r="A893" s="263"/>
      <c r="B893" s="263"/>
      <c r="C893" s="263"/>
      <c r="F893" s="264"/>
      <c r="G893" s="294"/>
      <c r="H893" s="294"/>
      <c r="I893" s="310"/>
    </row>
    <row r="894">
      <c r="A894" s="263"/>
      <c r="B894" s="263"/>
      <c r="C894" s="263"/>
      <c r="F894" s="264"/>
      <c r="G894" s="294"/>
      <c r="H894" s="294"/>
      <c r="I894" s="310"/>
    </row>
    <row r="895">
      <c r="A895" s="263"/>
      <c r="B895" s="263"/>
      <c r="C895" s="263"/>
      <c r="F895" s="264"/>
      <c r="G895" s="294"/>
      <c r="H895" s="294"/>
      <c r="I895" s="310"/>
    </row>
    <row r="896">
      <c r="A896" s="263"/>
      <c r="B896" s="263"/>
      <c r="C896" s="263"/>
      <c r="F896" s="264"/>
      <c r="G896" s="294"/>
      <c r="H896" s="294"/>
      <c r="I896" s="310"/>
    </row>
    <row r="897">
      <c r="A897" s="263"/>
      <c r="B897" s="263"/>
      <c r="C897" s="263"/>
      <c r="F897" s="264"/>
      <c r="G897" s="294"/>
      <c r="H897" s="294"/>
      <c r="I897" s="310"/>
    </row>
    <row r="898">
      <c r="A898" s="263"/>
      <c r="B898" s="263"/>
      <c r="C898" s="263"/>
      <c r="F898" s="264"/>
      <c r="G898" s="294"/>
      <c r="H898" s="294"/>
      <c r="I898" s="310"/>
    </row>
    <row r="899">
      <c r="A899" s="263"/>
      <c r="B899" s="263"/>
      <c r="C899" s="263"/>
      <c r="F899" s="264"/>
      <c r="G899" s="294"/>
      <c r="H899" s="294"/>
      <c r="I899" s="310"/>
    </row>
    <row r="900">
      <c r="A900" s="263"/>
      <c r="B900" s="263"/>
      <c r="C900" s="263"/>
      <c r="F900" s="264"/>
      <c r="G900" s="294"/>
      <c r="H900" s="294"/>
      <c r="I900" s="310"/>
    </row>
    <row r="901">
      <c r="A901" s="263"/>
      <c r="B901" s="263"/>
      <c r="C901" s="263"/>
      <c r="F901" s="264"/>
      <c r="G901" s="294"/>
      <c r="H901" s="294"/>
      <c r="I901" s="310"/>
    </row>
    <row r="902">
      <c r="A902" s="263"/>
      <c r="B902" s="263"/>
      <c r="C902" s="263"/>
      <c r="F902" s="264"/>
      <c r="G902" s="294"/>
      <c r="H902" s="294"/>
      <c r="I902" s="310"/>
    </row>
    <row r="903">
      <c r="A903" s="263"/>
      <c r="B903" s="263"/>
      <c r="C903" s="263"/>
      <c r="F903" s="264"/>
      <c r="G903" s="294"/>
      <c r="H903" s="294"/>
      <c r="I903" s="310"/>
    </row>
    <row r="904">
      <c r="A904" s="263"/>
      <c r="B904" s="263"/>
      <c r="C904" s="263"/>
      <c r="F904" s="264"/>
      <c r="G904" s="294"/>
      <c r="H904" s="294"/>
      <c r="I904" s="310"/>
    </row>
    <row r="905">
      <c r="A905" s="263"/>
      <c r="B905" s="263"/>
      <c r="C905" s="263"/>
      <c r="F905" s="264"/>
      <c r="G905" s="294"/>
      <c r="H905" s="294"/>
      <c r="I905" s="310"/>
    </row>
    <row r="906">
      <c r="A906" s="263"/>
      <c r="B906" s="263"/>
      <c r="C906" s="263"/>
      <c r="F906" s="264"/>
      <c r="G906" s="294"/>
      <c r="H906" s="294"/>
      <c r="I906" s="310"/>
    </row>
    <row r="907">
      <c r="A907" s="263"/>
      <c r="B907" s="263"/>
      <c r="C907" s="263"/>
      <c r="F907" s="264"/>
      <c r="G907" s="294"/>
      <c r="H907" s="294"/>
      <c r="I907" s="310"/>
    </row>
    <row r="908">
      <c r="A908" s="263"/>
      <c r="B908" s="263"/>
      <c r="C908" s="263"/>
      <c r="F908" s="264"/>
      <c r="G908" s="294"/>
      <c r="H908" s="294"/>
      <c r="I908" s="310"/>
    </row>
    <row r="909">
      <c r="A909" s="263"/>
      <c r="B909" s="263"/>
      <c r="C909" s="263"/>
      <c r="F909" s="264"/>
      <c r="G909" s="294"/>
      <c r="H909" s="294"/>
      <c r="I909" s="310"/>
    </row>
    <row r="910">
      <c r="A910" s="263"/>
      <c r="B910" s="263"/>
      <c r="C910" s="263"/>
      <c r="F910" s="264"/>
      <c r="G910" s="294"/>
      <c r="H910" s="294"/>
      <c r="I910" s="310"/>
    </row>
    <row r="911">
      <c r="A911" s="263"/>
      <c r="B911" s="263"/>
      <c r="C911" s="263"/>
      <c r="F911" s="264"/>
      <c r="G911" s="294"/>
      <c r="H911" s="294"/>
      <c r="I911" s="310"/>
    </row>
    <row r="912">
      <c r="A912" s="263"/>
      <c r="B912" s="263"/>
      <c r="C912" s="263"/>
      <c r="F912" s="264"/>
      <c r="G912" s="294"/>
      <c r="H912" s="294"/>
      <c r="I912" s="310"/>
    </row>
    <row r="913">
      <c r="A913" s="263"/>
      <c r="B913" s="263"/>
      <c r="C913" s="263"/>
      <c r="F913" s="264"/>
      <c r="G913" s="294"/>
      <c r="H913" s="294"/>
      <c r="I913" s="310"/>
    </row>
    <row r="914">
      <c r="A914" s="263"/>
      <c r="B914" s="263"/>
      <c r="C914" s="263"/>
      <c r="F914" s="264"/>
      <c r="G914" s="294"/>
      <c r="H914" s="294"/>
      <c r="I914" s="310"/>
    </row>
    <row r="915">
      <c r="A915" s="263"/>
      <c r="B915" s="263"/>
      <c r="C915" s="263"/>
      <c r="F915" s="264"/>
      <c r="G915" s="294"/>
      <c r="H915" s="294"/>
      <c r="I915" s="310"/>
    </row>
    <row r="916">
      <c r="A916" s="263"/>
      <c r="B916" s="263"/>
      <c r="C916" s="263"/>
      <c r="F916" s="264"/>
      <c r="G916" s="294"/>
      <c r="H916" s="294"/>
      <c r="I916" s="310"/>
    </row>
    <row r="917">
      <c r="A917" s="263"/>
      <c r="B917" s="263"/>
      <c r="C917" s="263"/>
      <c r="F917" s="264"/>
      <c r="G917" s="294"/>
      <c r="H917" s="294"/>
      <c r="I917" s="310"/>
    </row>
    <row r="918">
      <c r="A918" s="263"/>
      <c r="B918" s="263"/>
      <c r="C918" s="263"/>
      <c r="F918" s="264"/>
      <c r="G918" s="294"/>
      <c r="H918" s="294"/>
      <c r="I918" s="310"/>
    </row>
    <row r="919">
      <c r="A919" s="263"/>
      <c r="B919" s="263"/>
      <c r="C919" s="263"/>
      <c r="F919" s="264"/>
      <c r="G919" s="294"/>
      <c r="H919" s="294"/>
      <c r="I919" s="310"/>
    </row>
    <row r="920">
      <c r="A920" s="263"/>
      <c r="B920" s="263"/>
      <c r="C920" s="263"/>
      <c r="F920" s="264"/>
      <c r="G920" s="294"/>
      <c r="H920" s="294"/>
      <c r="I920" s="310"/>
    </row>
    <row r="921">
      <c r="A921" s="263"/>
      <c r="B921" s="263"/>
      <c r="C921" s="263"/>
      <c r="F921" s="264"/>
      <c r="G921" s="294"/>
      <c r="H921" s="294"/>
      <c r="I921" s="310"/>
    </row>
    <row r="922">
      <c r="A922" s="263"/>
      <c r="B922" s="263"/>
      <c r="C922" s="263"/>
      <c r="F922" s="264"/>
      <c r="G922" s="294"/>
      <c r="H922" s="294"/>
      <c r="I922" s="310"/>
    </row>
    <row r="923">
      <c r="A923" s="263"/>
      <c r="B923" s="263"/>
      <c r="C923" s="263"/>
      <c r="F923" s="264"/>
      <c r="G923" s="294"/>
      <c r="H923" s="294"/>
      <c r="I923" s="310"/>
    </row>
    <row r="924">
      <c r="A924" s="263"/>
      <c r="B924" s="263"/>
      <c r="C924" s="263"/>
      <c r="F924" s="264"/>
      <c r="G924" s="294"/>
      <c r="H924" s="294"/>
      <c r="I924" s="310"/>
    </row>
    <row r="925">
      <c r="A925" s="263"/>
      <c r="B925" s="263"/>
      <c r="C925" s="263"/>
      <c r="F925" s="264"/>
      <c r="G925" s="294"/>
      <c r="H925" s="294"/>
      <c r="I925" s="310"/>
    </row>
    <row r="926">
      <c r="A926" s="263"/>
      <c r="B926" s="263"/>
      <c r="C926" s="263"/>
      <c r="F926" s="264"/>
      <c r="G926" s="294"/>
      <c r="H926" s="294"/>
      <c r="I926" s="310"/>
    </row>
    <row r="927">
      <c r="A927" s="263"/>
      <c r="B927" s="263"/>
      <c r="C927" s="263"/>
      <c r="F927" s="264"/>
      <c r="G927" s="294"/>
      <c r="H927" s="294"/>
      <c r="I927" s="310"/>
    </row>
    <row r="928">
      <c r="A928" s="263"/>
      <c r="B928" s="263"/>
      <c r="C928" s="263"/>
      <c r="F928" s="264"/>
      <c r="G928" s="294"/>
      <c r="H928" s="294"/>
      <c r="I928" s="310"/>
    </row>
    <row r="929">
      <c r="A929" s="263"/>
      <c r="B929" s="263"/>
      <c r="C929" s="263"/>
      <c r="F929" s="264"/>
      <c r="G929" s="294"/>
      <c r="H929" s="294"/>
      <c r="I929" s="310"/>
    </row>
    <row r="930">
      <c r="A930" s="263"/>
      <c r="B930" s="263"/>
      <c r="C930" s="263"/>
      <c r="F930" s="264"/>
      <c r="G930" s="294"/>
      <c r="H930" s="294"/>
      <c r="I930" s="310"/>
    </row>
    <row r="931">
      <c r="A931" s="263"/>
      <c r="B931" s="263"/>
      <c r="C931" s="263"/>
      <c r="F931" s="264"/>
      <c r="G931" s="294"/>
      <c r="H931" s="294"/>
      <c r="I931" s="310"/>
    </row>
    <row r="932">
      <c r="A932" s="263"/>
      <c r="B932" s="263"/>
      <c r="C932" s="263"/>
      <c r="F932" s="264"/>
      <c r="G932" s="294"/>
      <c r="H932" s="294"/>
      <c r="I932" s="310"/>
    </row>
    <row r="933">
      <c r="A933" s="263"/>
      <c r="B933" s="263"/>
      <c r="C933" s="263"/>
      <c r="F933" s="264"/>
      <c r="G933" s="294"/>
      <c r="H933" s="294"/>
      <c r="I933" s="310"/>
    </row>
    <row r="934">
      <c r="A934" s="263"/>
      <c r="B934" s="263"/>
      <c r="C934" s="263"/>
      <c r="F934" s="264"/>
      <c r="G934" s="294"/>
      <c r="H934" s="294"/>
      <c r="I934" s="310"/>
    </row>
    <row r="935">
      <c r="A935" s="263"/>
      <c r="B935" s="263"/>
      <c r="C935" s="263"/>
      <c r="F935" s="264"/>
      <c r="G935" s="294"/>
      <c r="H935" s="294"/>
      <c r="I935" s="310"/>
    </row>
    <row r="936">
      <c r="A936" s="263"/>
      <c r="B936" s="263"/>
      <c r="C936" s="263"/>
      <c r="F936" s="264"/>
      <c r="G936" s="294"/>
      <c r="H936" s="294"/>
      <c r="I936" s="310"/>
    </row>
    <row r="937">
      <c r="A937" s="263"/>
      <c r="B937" s="263"/>
      <c r="C937" s="263"/>
      <c r="F937" s="264"/>
      <c r="G937" s="294"/>
      <c r="H937" s="294"/>
      <c r="I937" s="310"/>
    </row>
    <row r="938">
      <c r="A938" s="263"/>
      <c r="B938" s="263"/>
      <c r="C938" s="263"/>
      <c r="F938" s="264"/>
      <c r="G938" s="294"/>
      <c r="H938" s="294"/>
      <c r="I938" s="310"/>
    </row>
    <row r="939">
      <c r="A939" s="263"/>
      <c r="B939" s="263"/>
      <c r="C939" s="263"/>
      <c r="F939" s="264"/>
      <c r="G939" s="294"/>
      <c r="H939" s="294"/>
      <c r="I939" s="310"/>
    </row>
    <row r="940">
      <c r="A940" s="263"/>
      <c r="B940" s="263"/>
      <c r="C940" s="263"/>
      <c r="F940" s="264"/>
      <c r="G940" s="294"/>
      <c r="H940" s="294"/>
      <c r="I940" s="310"/>
    </row>
    <row r="941">
      <c r="A941" s="263"/>
      <c r="B941" s="263"/>
      <c r="C941" s="263"/>
      <c r="F941" s="264"/>
      <c r="G941" s="294"/>
      <c r="H941" s="294"/>
      <c r="I941" s="310"/>
    </row>
    <row r="942">
      <c r="A942" s="263"/>
      <c r="B942" s="263"/>
      <c r="C942" s="263"/>
      <c r="F942" s="264"/>
      <c r="G942" s="294"/>
      <c r="H942" s="294"/>
      <c r="I942" s="310"/>
    </row>
    <row r="943">
      <c r="A943" s="263"/>
      <c r="B943" s="263"/>
      <c r="C943" s="263"/>
      <c r="F943" s="264"/>
      <c r="G943" s="294"/>
      <c r="H943" s="294"/>
      <c r="I943" s="310"/>
    </row>
    <row r="944">
      <c r="A944" s="263"/>
      <c r="B944" s="263"/>
      <c r="C944" s="263"/>
      <c r="F944" s="264"/>
      <c r="G944" s="294"/>
      <c r="H944" s="294"/>
      <c r="I944" s="310"/>
    </row>
    <row r="945">
      <c r="A945" s="263"/>
      <c r="B945" s="263"/>
      <c r="C945" s="263"/>
      <c r="F945" s="264"/>
      <c r="G945" s="294"/>
      <c r="H945" s="294"/>
      <c r="I945" s="310"/>
    </row>
    <row r="946">
      <c r="A946" s="263"/>
      <c r="B946" s="263"/>
      <c r="C946" s="263"/>
      <c r="F946" s="264"/>
      <c r="G946" s="294"/>
      <c r="H946" s="294"/>
      <c r="I946" s="310"/>
    </row>
    <row r="947">
      <c r="A947" s="263"/>
      <c r="B947" s="263"/>
      <c r="C947" s="263"/>
      <c r="F947" s="264"/>
      <c r="G947" s="294"/>
      <c r="H947" s="294"/>
      <c r="I947" s="310"/>
    </row>
    <row r="948">
      <c r="A948" s="263"/>
      <c r="B948" s="263"/>
      <c r="C948" s="263"/>
      <c r="F948" s="264"/>
      <c r="G948" s="294"/>
      <c r="H948" s="294"/>
      <c r="I948" s="310"/>
    </row>
    <row r="949">
      <c r="A949" s="263"/>
      <c r="B949" s="263"/>
      <c r="C949" s="263"/>
      <c r="F949" s="264"/>
      <c r="G949" s="294"/>
      <c r="H949" s="294"/>
      <c r="I949" s="310"/>
    </row>
    <row r="950">
      <c r="A950" s="263"/>
      <c r="B950" s="263"/>
      <c r="C950" s="263"/>
      <c r="F950" s="264"/>
      <c r="G950" s="294"/>
      <c r="H950" s="294"/>
      <c r="I950" s="310"/>
    </row>
    <row r="951">
      <c r="A951" s="263"/>
      <c r="B951" s="263"/>
      <c r="C951" s="263"/>
      <c r="F951" s="264"/>
      <c r="G951" s="294"/>
      <c r="H951" s="294"/>
      <c r="I951" s="310"/>
    </row>
    <row r="952">
      <c r="A952" s="263"/>
      <c r="B952" s="263"/>
      <c r="C952" s="263"/>
      <c r="F952" s="264"/>
      <c r="G952" s="294"/>
      <c r="H952" s="294"/>
      <c r="I952" s="310"/>
    </row>
    <row r="953">
      <c r="A953" s="263"/>
      <c r="B953" s="263"/>
      <c r="C953" s="263"/>
      <c r="F953" s="264"/>
      <c r="G953" s="294"/>
      <c r="H953" s="294"/>
      <c r="I953" s="310"/>
    </row>
    <row r="954">
      <c r="A954" s="263"/>
      <c r="B954" s="263"/>
      <c r="C954" s="263"/>
      <c r="F954" s="264"/>
      <c r="G954" s="294"/>
      <c r="H954" s="294"/>
      <c r="I954" s="310"/>
    </row>
    <row r="955">
      <c r="A955" s="263"/>
      <c r="B955" s="263"/>
      <c r="C955" s="263"/>
      <c r="F955" s="264"/>
      <c r="G955" s="294"/>
      <c r="H955" s="294"/>
      <c r="I955" s="310"/>
    </row>
    <row r="956">
      <c r="A956" s="263"/>
      <c r="B956" s="263"/>
      <c r="C956" s="263"/>
      <c r="F956" s="264"/>
      <c r="G956" s="294"/>
      <c r="H956" s="294"/>
      <c r="I956" s="310"/>
    </row>
    <row r="957">
      <c r="A957" s="263"/>
      <c r="B957" s="263"/>
      <c r="C957" s="263"/>
      <c r="F957" s="264"/>
      <c r="G957" s="294"/>
      <c r="H957" s="294"/>
      <c r="I957" s="310"/>
    </row>
    <row r="958">
      <c r="A958" s="263"/>
      <c r="B958" s="263"/>
      <c r="C958" s="263"/>
      <c r="F958" s="264"/>
      <c r="G958" s="294"/>
      <c r="H958" s="294"/>
      <c r="I958" s="310"/>
    </row>
    <row r="959">
      <c r="A959" s="263"/>
      <c r="B959" s="263"/>
      <c r="C959" s="263"/>
      <c r="F959" s="264"/>
      <c r="G959" s="294"/>
      <c r="H959" s="294"/>
      <c r="I959" s="310"/>
    </row>
    <row r="960">
      <c r="A960" s="263"/>
      <c r="B960" s="263"/>
      <c r="C960" s="263"/>
      <c r="F960" s="264"/>
      <c r="G960" s="294"/>
      <c r="H960" s="294"/>
      <c r="I960" s="310"/>
    </row>
    <row r="961">
      <c r="A961" s="263"/>
      <c r="B961" s="263"/>
      <c r="C961" s="263"/>
      <c r="F961" s="264"/>
      <c r="G961" s="294"/>
      <c r="H961" s="294"/>
      <c r="I961" s="310"/>
    </row>
    <row r="962">
      <c r="A962" s="263"/>
      <c r="B962" s="263"/>
      <c r="C962" s="263"/>
      <c r="F962" s="264"/>
      <c r="G962" s="294"/>
      <c r="H962" s="294"/>
      <c r="I962" s="310"/>
    </row>
    <row r="963">
      <c r="A963" s="263"/>
      <c r="B963" s="263"/>
      <c r="C963" s="263"/>
      <c r="F963" s="264"/>
      <c r="G963" s="294"/>
      <c r="H963" s="294"/>
      <c r="I963" s="310"/>
    </row>
    <row r="964">
      <c r="A964" s="263"/>
      <c r="B964" s="263"/>
      <c r="C964" s="263"/>
      <c r="F964" s="264"/>
      <c r="G964" s="294"/>
      <c r="H964" s="294"/>
      <c r="I964" s="310"/>
    </row>
    <row r="965">
      <c r="A965" s="263"/>
      <c r="B965" s="263"/>
      <c r="C965" s="263"/>
      <c r="F965" s="264"/>
      <c r="G965" s="294"/>
      <c r="H965" s="294"/>
      <c r="I965" s="310"/>
    </row>
    <row r="966">
      <c r="A966" s="263"/>
      <c r="B966" s="263"/>
      <c r="C966" s="263"/>
      <c r="F966" s="264"/>
      <c r="G966" s="294"/>
      <c r="H966" s="294"/>
      <c r="I966" s="310"/>
    </row>
    <row r="967">
      <c r="A967" s="263"/>
      <c r="B967" s="263"/>
      <c r="C967" s="263"/>
      <c r="F967" s="264"/>
      <c r="G967" s="294"/>
      <c r="H967" s="294"/>
      <c r="I967" s="310"/>
    </row>
    <row r="968">
      <c r="A968" s="263"/>
      <c r="B968" s="263"/>
      <c r="C968" s="263"/>
      <c r="F968" s="264"/>
      <c r="G968" s="294"/>
      <c r="H968" s="294"/>
      <c r="I968" s="310"/>
    </row>
    <row r="969">
      <c r="A969" s="263"/>
      <c r="B969" s="263"/>
      <c r="C969" s="263"/>
      <c r="F969" s="264"/>
      <c r="G969" s="294"/>
      <c r="H969" s="294"/>
      <c r="I969" s="310"/>
    </row>
    <row r="970">
      <c r="A970" s="263"/>
      <c r="B970" s="263"/>
      <c r="C970" s="263"/>
      <c r="F970" s="264"/>
      <c r="G970" s="294"/>
      <c r="H970" s="294"/>
      <c r="I970" s="310"/>
    </row>
    <row r="971">
      <c r="A971" s="263"/>
      <c r="B971" s="263"/>
      <c r="C971" s="263"/>
      <c r="F971" s="264"/>
      <c r="G971" s="294"/>
      <c r="H971" s="294"/>
      <c r="I971" s="310"/>
    </row>
    <row r="972">
      <c r="A972" s="263"/>
      <c r="B972" s="263"/>
      <c r="C972" s="263"/>
      <c r="F972" s="264"/>
      <c r="G972" s="294"/>
      <c r="H972" s="294"/>
      <c r="I972" s="310"/>
    </row>
    <row r="973">
      <c r="A973" s="263"/>
      <c r="B973" s="263"/>
      <c r="C973" s="263"/>
      <c r="F973" s="264"/>
      <c r="G973" s="294"/>
      <c r="H973" s="294"/>
      <c r="I973" s="310"/>
    </row>
    <row r="974">
      <c r="A974" s="263"/>
      <c r="B974" s="263"/>
      <c r="C974" s="263"/>
      <c r="F974" s="264"/>
      <c r="G974" s="294"/>
      <c r="H974" s="294"/>
      <c r="I974" s="310"/>
    </row>
    <row r="975">
      <c r="A975" s="263"/>
      <c r="B975" s="263"/>
      <c r="C975" s="263"/>
      <c r="F975" s="264"/>
      <c r="G975" s="294"/>
      <c r="H975" s="294"/>
      <c r="I975" s="310"/>
    </row>
    <row r="976">
      <c r="A976" s="263"/>
      <c r="B976" s="263"/>
      <c r="C976" s="263"/>
      <c r="F976" s="264"/>
      <c r="G976" s="294"/>
      <c r="H976" s="294"/>
      <c r="I976" s="310"/>
    </row>
    <row r="977">
      <c r="A977" s="263"/>
      <c r="B977" s="263"/>
      <c r="C977" s="263"/>
      <c r="F977" s="264"/>
      <c r="G977" s="294"/>
      <c r="H977" s="294"/>
      <c r="I977" s="310"/>
    </row>
    <row r="978">
      <c r="A978" s="263"/>
      <c r="B978" s="263"/>
      <c r="C978" s="263"/>
      <c r="F978" s="264"/>
      <c r="G978" s="294"/>
      <c r="H978" s="294"/>
      <c r="I978" s="310"/>
    </row>
    <row r="979">
      <c r="A979" s="263"/>
      <c r="B979" s="263"/>
      <c r="C979" s="263"/>
      <c r="F979" s="264"/>
      <c r="G979" s="294"/>
      <c r="H979" s="294"/>
      <c r="I979" s="310"/>
    </row>
    <row r="980">
      <c r="A980" s="263"/>
      <c r="B980" s="263"/>
      <c r="C980" s="263"/>
      <c r="F980" s="264"/>
      <c r="G980" s="294"/>
      <c r="H980" s="294"/>
      <c r="I980" s="310"/>
    </row>
    <row r="981">
      <c r="A981" s="263"/>
      <c r="B981" s="263"/>
      <c r="C981" s="263"/>
      <c r="F981" s="264"/>
      <c r="G981" s="294"/>
      <c r="H981" s="294"/>
      <c r="I981" s="310"/>
    </row>
    <row r="982">
      <c r="A982" s="263"/>
      <c r="B982" s="263"/>
      <c r="C982" s="263"/>
      <c r="F982" s="264"/>
      <c r="G982" s="294"/>
      <c r="H982" s="294"/>
      <c r="I982" s="310"/>
    </row>
    <row r="983">
      <c r="A983" s="263"/>
      <c r="B983" s="263"/>
      <c r="C983" s="263"/>
      <c r="F983" s="264"/>
      <c r="G983" s="294"/>
      <c r="H983" s="294"/>
      <c r="I983" s="310"/>
    </row>
    <row r="984">
      <c r="A984" s="263"/>
      <c r="B984" s="263"/>
      <c r="C984" s="263"/>
      <c r="F984" s="264"/>
      <c r="G984" s="294"/>
      <c r="H984" s="294"/>
      <c r="I984" s="310"/>
    </row>
    <row r="985">
      <c r="A985" s="263"/>
      <c r="B985" s="263"/>
      <c r="C985" s="263"/>
      <c r="F985" s="264"/>
      <c r="G985" s="294"/>
      <c r="H985" s="294"/>
      <c r="I985" s="310"/>
    </row>
    <row r="986">
      <c r="A986" s="263"/>
      <c r="B986" s="263"/>
      <c r="C986" s="263"/>
      <c r="F986" s="264"/>
      <c r="G986" s="294"/>
      <c r="H986" s="294"/>
      <c r="I986" s="310"/>
    </row>
    <row r="987">
      <c r="A987" s="263"/>
      <c r="B987" s="263"/>
      <c r="C987" s="263"/>
      <c r="F987" s="264"/>
      <c r="G987" s="294"/>
      <c r="H987" s="294"/>
      <c r="I987" s="310"/>
    </row>
    <row r="988">
      <c r="A988" s="263"/>
      <c r="B988" s="263"/>
      <c r="C988" s="263"/>
      <c r="F988" s="264"/>
      <c r="G988" s="294"/>
      <c r="H988" s="294"/>
      <c r="I988" s="310"/>
    </row>
    <row r="989">
      <c r="A989" s="263"/>
      <c r="B989" s="263"/>
      <c r="C989" s="263"/>
      <c r="F989" s="264"/>
      <c r="G989" s="294"/>
      <c r="H989" s="294"/>
      <c r="I989" s="310"/>
    </row>
    <row r="990">
      <c r="A990" s="263"/>
      <c r="B990" s="263"/>
      <c r="C990" s="263"/>
      <c r="F990" s="264"/>
      <c r="G990" s="294"/>
      <c r="H990" s="294"/>
      <c r="I990" s="310"/>
    </row>
    <row r="991">
      <c r="A991" s="263"/>
      <c r="B991" s="263"/>
      <c r="C991" s="263"/>
      <c r="F991" s="264"/>
      <c r="G991" s="294"/>
      <c r="H991" s="294"/>
      <c r="I991" s="310"/>
    </row>
    <row r="992">
      <c r="A992" s="263"/>
      <c r="B992" s="263"/>
      <c r="C992" s="263"/>
      <c r="F992" s="264"/>
      <c r="G992" s="294"/>
      <c r="H992" s="294"/>
      <c r="I992" s="310"/>
    </row>
    <row r="993">
      <c r="A993" s="263"/>
      <c r="B993" s="263"/>
      <c r="C993" s="263"/>
      <c r="F993" s="264"/>
      <c r="G993" s="294"/>
      <c r="H993" s="294"/>
      <c r="I993" s="310"/>
    </row>
    <row r="994">
      <c r="A994" s="263"/>
      <c r="B994" s="263"/>
      <c r="C994" s="263"/>
      <c r="F994" s="264"/>
      <c r="G994" s="294"/>
      <c r="H994" s="294"/>
      <c r="I994" s="310"/>
    </row>
    <row r="995">
      <c r="A995" s="263"/>
      <c r="B995" s="263"/>
      <c r="C995" s="263"/>
      <c r="F995" s="264"/>
      <c r="G995" s="294"/>
      <c r="H995" s="294"/>
      <c r="I995" s="310"/>
    </row>
    <row r="996">
      <c r="A996" s="263"/>
      <c r="B996" s="263"/>
      <c r="C996" s="263"/>
      <c r="F996" s="264"/>
      <c r="G996" s="294"/>
      <c r="H996" s="294"/>
      <c r="I996" s="310"/>
    </row>
    <row r="997">
      <c r="A997" s="263"/>
      <c r="B997" s="263"/>
      <c r="C997" s="263"/>
      <c r="F997" s="264"/>
      <c r="G997" s="294"/>
      <c r="H997" s="294"/>
      <c r="I997" s="310"/>
    </row>
    <row r="998">
      <c r="A998" s="263"/>
      <c r="B998" s="263"/>
      <c r="C998" s="263"/>
      <c r="F998" s="264"/>
      <c r="G998" s="294"/>
      <c r="H998" s="294"/>
      <c r="I998" s="310"/>
    </row>
    <row r="999">
      <c r="A999" s="263"/>
      <c r="B999" s="263"/>
      <c r="C999" s="263"/>
      <c r="F999" s="264"/>
      <c r="G999" s="294"/>
      <c r="H999" s="294"/>
      <c r="I999" s="310"/>
    </row>
    <row r="1000">
      <c r="A1000" s="263"/>
      <c r="B1000" s="263"/>
      <c r="C1000" s="263"/>
      <c r="F1000" s="264"/>
      <c r="G1000" s="294"/>
      <c r="H1000" s="294"/>
      <c r="I1000" s="310"/>
    </row>
  </sheetData>
  <autoFilter ref="$A$1:$AB$29"/>
  <dataValidations>
    <dataValidation type="list" allowBlank="1" showErrorMessage="1" sqref="C2:C1000">
      <formula1>"-,Да,Часть команды,Нет"</formula1>
    </dataValidation>
    <dataValidation type="list" allowBlank="1" showErrorMessage="1" sqref="B2:B500">
      <formula1>"-,Прошёл регистрацию,Резерв,Направлена ссылка на оплату,Оплачено,Нужна ссылка на оплату,Ожидаем оплату по резервной ссылке,Отменён"</formula1>
    </dataValidation>
  </dataValidations>
  <hyperlinks>
    <hyperlink r:id="rId1" ref="O1"/>
    <hyperlink r:id="rId2" ref="O2"/>
    <hyperlink r:id="rId3" ref="O3"/>
    <hyperlink r:id="rId4" ref="O4"/>
    <hyperlink r:id="rId5" ref="O5"/>
    <hyperlink r:id="rId6" ref="O6"/>
    <hyperlink r:id="rId7" ref="O7"/>
    <hyperlink r:id="rId8" ref="O8"/>
    <hyperlink r:id="rId9" ref="O9"/>
    <hyperlink r:id="rId10" ref="O10"/>
    <hyperlink r:id="rId11" ref="O11"/>
    <hyperlink r:id="rId12" ref="O12"/>
    <hyperlink r:id="rId13" ref="O13"/>
    <hyperlink r:id="rId14" ref="O14"/>
    <hyperlink r:id="rId15" ref="O15"/>
    <hyperlink r:id="rId16" ref="O16"/>
    <hyperlink r:id="rId17" ref="O17"/>
    <hyperlink r:id="rId18" ref="O18"/>
  </hyperlinks>
  <drawing r:id="rId1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s>
  <sheetData>
    <row r="1">
      <c r="A1" s="282" t="s">
        <v>671</v>
      </c>
      <c r="B1" s="282" t="s">
        <v>672</v>
      </c>
      <c r="C1" s="282" t="s">
        <v>673</v>
      </c>
      <c r="D1" s="282" t="s">
        <v>674</v>
      </c>
      <c r="E1" s="282" t="s">
        <v>675</v>
      </c>
      <c r="F1" s="282" t="s">
        <v>676</v>
      </c>
      <c r="G1" s="282" t="s">
        <v>677</v>
      </c>
      <c r="H1" s="282" t="s">
        <v>678</v>
      </c>
      <c r="I1" s="282" t="s">
        <v>679</v>
      </c>
      <c r="J1" s="282" t="s">
        <v>680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21.38"/>
  </cols>
  <sheetData>
    <row r="1">
      <c r="A1" s="311" t="s">
        <v>681</v>
      </c>
      <c r="B1" s="311" t="s">
        <v>682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7" t="s">
        <v>605</v>
      </c>
      <c r="B1" s="117" t="s">
        <v>417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Right="0"/>
  </sheetPr>
  <sheetViews>
    <sheetView workbookViewId="0"/>
  </sheetViews>
  <sheetFormatPr customHeight="1" defaultColWidth="12.63" defaultRowHeight="15.75" outlineLevelCol="1" outlineLevelRow="1"/>
  <cols>
    <col collapsed="1" customWidth="1" min="1" max="1" width="5.63"/>
    <col customWidth="1" hidden="1" min="2" max="2" width="26.25" outlineLevel="1"/>
    <col customWidth="1" hidden="1" min="3" max="3" width="11.88" outlineLevel="1"/>
    <col customWidth="1" hidden="1" min="4" max="4" width="58.63" outlineLevel="1"/>
    <col customWidth="1" min="5" max="5" width="7.88"/>
    <col customWidth="1" min="6" max="6" width="16.88"/>
    <col customWidth="1" min="7" max="7" width="14.88"/>
    <col customWidth="1" min="8" max="8" width="64.5"/>
    <col collapsed="1" customWidth="1" min="9" max="9" width="9.63"/>
    <col customWidth="1" hidden="1" min="10" max="10" width="13.0" outlineLevel="1"/>
    <col customWidth="1" min="11" max="11" width="42.13"/>
    <col customWidth="1" min="12" max="12" width="3.88"/>
    <col customWidth="1" min="13" max="13" width="5.25"/>
    <col customWidth="1" min="14" max="14" width="14.13"/>
    <col customWidth="1" min="15" max="15" width="32.63"/>
    <col customWidth="1" min="16" max="16" width="9.63"/>
    <col customWidth="1" min="17" max="18" width="2.75"/>
    <col customWidth="1" min="19" max="19" width="56.75"/>
    <col customWidth="1" min="21" max="21" width="30.88"/>
    <col customWidth="1" min="22" max="22" width="28.0"/>
  </cols>
  <sheetData>
    <row r="1" ht="166.5" hidden="1" customHeight="1" outlineLevel="1">
      <c r="A1" s="312" t="s">
        <v>683</v>
      </c>
      <c r="B1" s="313" t="s">
        <v>9</v>
      </c>
      <c r="C1" s="313" t="s">
        <v>10</v>
      </c>
      <c r="D1" s="313" t="s">
        <v>11</v>
      </c>
      <c r="E1" s="314"/>
      <c r="F1" s="312"/>
      <c r="G1" s="312"/>
      <c r="H1" s="312"/>
      <c r="I1" s="312" t="s">
        <v>17</v>
      </c>
      <c r="J1" s="312"/>
      <c r="K1" s="312" t="s">
        <v>255</v>
      </c>
      <c r="L1" s="312" t="s">
        <v>65</v>
      </c>
      <c r="M1" s="312" t="s">
        <v>256</v>
      </c>
      <c r="N1" s="312" t="s">
        <v>257</v>
      </c>
      <c r="O1" s="312" t="s">
        <v>67</v>
      </c>
      <c r="P1" s="312" t="s">
        <v>14</v>
      </c>
      <c r="Q1" s="312"/>
      <c r="R1" s="312"/>
      <c r="S1" s="312" t="s">
        <v>684</v>
      </c>
      <c r="T1" s="312" t="s">
        <v>68</v>
      </c>
    </row>
    <row r="2" collapsed="1">
      <c r="A2" s="315" t="s">
        <v>685</v>
      </c>
      <c r="B2" s="316" t="s">
        <v>686</v>
      </c>
      <c r="C2" s="316" t="s">
        <v>687</v>
      </c>
      <c r="D2" s="316" t="s">
        <v>688</v>
      </c>
      <c r="E2" s="317" t="s">
        <v>689</v>
      </c>
      <c r="F2" s="315" t="s">
        <v>690</v>
      </c>
      <c r="G2" s="315" t="s">
        <v>691</v>
      </c>
      <c r="H2" s="315" t="s">
        <v>692</v>
      </c>
      <c r="I2" s="315" t="s">
        <v>693</v>
      </c>
      <c r="J2" s="318" t="s">
        <v>694</v>
      </c>
      <c r="K2" s="315"/>
      <c r="L2" s="315"/>
      <c r="M2" s="315" t="s">
        <v>256</v>
      </c>
      <c r="N2" s="315" t="s">
        <v>12</v>
      </c>
      <c r="O2" s="315" t="s">
        <v>13</v>
      </c>
      <c r="P2" s="315" t="s">
        <v>14</v>
      </c>
      <c r="Q2" s="315"/>
      <c r="R2" s="315"/>
      <c r="S2" s="315" t="s">
        <v>16</v>
      </c>
      <c r="T2" s="315" t="s">
        <v>19</v>
      </c>
      <c r="U2" s="117" t="s">
        <v>695</v>
      </c>
      <c r="V2" s="117" t="s">
        <v>696</v>
      </c>
    </row>
    <row r="3" hidden="1">
      <c r="A3" s="319">
        <v>1.0</v>
      </c>
      <c r="B3" s="320" t="s">
        <v>70</v>
      </c>
      <c r="C3" s="321" t="s">
        <v>71</v>
      </c>
      <c r="D3" s="321" t="s">
        <v>72</v>
      </c>
      <c r="E3" s="322" t="s">
        <v>697</v>
      </c>
      <c r="F3" s="323" t="s">
        <v>70</v>
      </c>
      <c r="G3" s="324" t="s">
        <v>71</v>
      </c>
      <c r="H3" s="325" t="s">
        <v>698</v>
      </c>
      <c r="I3" s="326">
        <v>8.0</v>
      </c>
      <c r="J3" s="327">
        <v>16.0</v>
      </c>
      <c r="L3" s="327"/>
      <c r="M3" s="318" t="s">
        <v>259</v>
      </c>
      <c r="N3" s="327" t="s">
        <v>260</v>
      </c>
      <c r="O3" s="327" t="s">
        <v>261</v>
      </c>
      <c r="P3" s="327">
        <v>1.0</v>
      </c>
      <c r="Q3" s="327"/>
      <c r="R3" s="327"/>
      <c r="S3" s="327"/>
      <c r="T3" s="328"/>
      <c r="U3" s="117" t="s">
        <v>699</v>
      </c>
      <c r="V3" s="155"/>
    </row>
    <row r="4" hidden="1">
      <c r="A4" s="319">
        <v>2.0</v>
      </c>
      <c r="B4" s="320" t="s">
        <v>70</v>
      </c>
      <c r="C4" s="321" t="s">
        <v>20</v>
      </c>
      <c r="D4" s="321" t="s">
        <v>73</v>
      </c>
      <c r="E4" s="322" t="s">
        <v>700</v>
      </c>
      <c r="F4" s="323" t="s">
        <v>70</v>
      </c>
      <c r="G4" s="323" t="s">
        <v>71</v>
      </c>
      <c r="H4" s="329" t="s">
        <v>701</v>
      </c>
      <c r="I4" s="326">
        <v>6.0</v>
      </c>
      <c r="J4" s="327">
        <v>6.0</v>
      </c>
      <c r="K4" s="330" t="s">
        <v>258</v>
      </c>
      <c r="L4" s="327"/>
      <c r="M4" s="318">
        <v>10.0</v>
      </c>
      <c r="N4" s="327" t="s">
        <v>260</v>
      </c>
      <c r="O4" s="327" t="s">
        <v>262</v>
      </c>
      <c r="P4" s="327">
        <v>1.0</v>
      </c>
      <c r="Q4" s="327"/>
      <c r="R4" s="327"/>
      <c r="S4" s="327"/>
      <c r="T4" s="328"/>
      <c r="U4" s="155"/>
      <c r="V4" s="155"/>
    </row>
    <row r="5" hidden="1">
      <c r="A5" s="319">
        <v>3.0</v>
      </c>
      <c r="B5" s="320" t="s">
        <v>70</v>
      </c>
      <c r="C5" s="321" t="s">
        <v>20</v>
      </c>
      <c r="D5" s="321" t="s">
        <v>74</v>
      </c>
      <c r="E5" s="322"/>
      <c r="F5" s="323"/>
      <c r="G5" s="323"/>
      <c r="H5" s="329"/>
      <c r="I5" s="326"/>
      <c r="J5" s="327"/>
      <c r="K5" s="331" t="s">
        <v>453</v>
      </c>
      <c r="L5" s="327"/>
      <c r="N5" s="327" t="s">
        <v>260</v>
      </c>
      <c r="O5" s="327" t="s">
        <v>262</v>
      </c>
      <c r="P5" s="327"/>
      <c r="Q5" s="327"/>
      <c r="R5" s="327"/>
      <c r="S5" s="327"/>
      <c r="T5" s="328"/>
      <c r="U5" s="155"/>
      <c r="V5" s="155"/>
    </row>
    <row r="6" hidden="1">
      <c r="A6" s="319">
        <v>4.0</v>
      </c>
      <c r="B6" s="320" t="s">
        <v>70</v>
      </c>
      <c r="C6" s="321" t="s">
        <v>20</v>
      </c>
      <c r="D6" s="332" t="s">
        <v>75</v>
      </c>
      <c r="E6" s="322" t="s">
        <v>702</v>
      </c>
      <c r="F6" s="323" t="s">
        <v>70</v>
      </c>
      <c r="G6" s="323" t="s">
        <v>71</v>
      </c>
      <c r="H6" s="329" t="s">
        <v>703</v>
      </c>
      <c r="I6" s="326"/>
      <c r="J6" s="327">
        <v>10.0</v>
      </c>
      <c r="K6" s="333"/>
      <c r="L6" s="327"/>
      <c r="M6" s="334"/>
      <c r="N6" s="327" t="s">
        <v>260</v>
      </c>
      <c r="O6" s="327" t="s">
        <v>261</v>
      </c>
      <c r="P6" s="327">
        <v>1.0</v>
      </c>
      <c r="Q6" s="327"/>
      <c r="R6" s="327"/>
      <c r="S6" s="327"/>
      <c r="T6" s="328"/>
      <c r="U6" s="155"/>
      <c r="V6" s="155"/>
    </row>
    <row r="7" hidden="1">
      <c r="A7" s="319">
        <v>5.0</v>
      </c>
      <c r="B7" s="320" t="s">
        <v>70</v>
      </c>
      <c r="C7" s="332" t="s">
        <v>71</v>
      </c>
      <c r="D7" s="332" t="s">
        <v>76</v>
      </c>
      <c r="E7" s="322"/>
      <c r="F7" s="323"/>
      <c r="G7" s="323"/>
      <c r="H7" s="329"/>
      <c r="I7" s="326"/>
      <c r="J7" s="327"/>
      <c r="K7" s="333"/>
      <c r="L7" s="327"/>
      <c r="M7" s="334"/>
      <c r="N7" s="327" t="s">
        <v>260</v>
      </c>
      <c r="O7" s="327" t="s">
        <v>261</v>
      </c>
      <c r="P7" s="327"/>
      <c r="Q7" s="327"/>
      <c r="R7" s="327"/>
      <c r="S7" s="327"/>
      <c r="T7" s="328"/>
      <c r="U7" s="155"/>
      <c r="V7" s="155"/>
    </row>
    <row r="8" hidden="1">
      <c r="A8" s="319">
        <v>6.0</v>
      </c>
      <c r="B8" s="320" t="s">
        <v>70</v>
      </c>
      <c r="C8" s="332" t="s">
        <v>71</v>
      </c>
      <c r="D8" s="332" t="s">
        <v>77</v>
      </c>
      <c r="E8" s="322" t="s">
        <v>704</v>
      </c>
      <c r="F8" s="323" t="s">
        <v>70</v>
      </c>
      <c r="G8" s="323" t="s">
        <v>71</v>
      </c>
      <c r="H8" s="329" t="s">
        <v>705</v>
      </c>
      <c r="I8" s="326"/>
      <c r="J8" s="327"/>
      <c r="K8" s="331" t="s">
        <v>453</v>
      </c>
      <c r="L8" s="327"/>
      <c r="M8" s="318">
        <v>16.0</v>
      </c>
      <c r="N8" s="327" t="s">
        <v>260</v>
      </c>
      <c r="O8" s="327" t="s">
        <v>263</v>
      </c>
      <c r="P8" s="327"/>
      <c r="Q8" s="327"/>
      <c r="R8" s="327"/>
      <c r="S8" s="327"/>
      <c r="T8" s="328"/>
      <c r="U8" s="155"/>
      <c r="V8" s="155"/>
    </row>
    <row r="9" hidden="1">
      <c r="A9" s="319">
        <v>7.0</v>
      </c>
      <c r="B9" s="320" t="s">
        <v>70</v>
      </c>
      <c r="C9" s="332" t="s">
        <v>71</v>
      </c>
      <c r="D9" s="332" t="s">
        <v>78</v>
      </c>
      <c r="E9" s="322" t="s">
        <v>706</v>
      </c>
      <c r="F9" s="323" t="s">
        <v>70</v>
      </c>
      <c r="G9" s="323" t="s">
        <v>71</v>
      </c>
      <c r="H9" s="329" t="s">
        <v>707</v>
      </c>
      <c r="I9" s="326"/>
      <c r="J9" s="327"/>
      <c r="K9" s="333"/>
      <c r="L9" s="327"/>
      <c r="M9" s="334"/>
      <c r="N9" s="327" t="s">
        <v>260</v>
      </c>
      <c r="O9" s="327" t="s">
        <v>263</v>
      </c>
      <c r="P9" s="327">
        <v>1.0</v>
      </c>
      <c r="Q9" s="327">
        <v>1.0</v>
      </c>
      <c r="R9" s="327"/>
      <c r="S9" s="327"/>
      <c r="T9" s="328"/>
      <c r="U9" s="155"/>
      <c r="V9" s="155"/>
    </row>
    <row r="10" hidden="1">
      <c r="A10" s="319">
        <v>9.0</v>
      </c>
      <c r="B10" s="320" t="s">
        <v>70</v>
      </c>
      <c r="C10" s="332" t="s">
        <v>71</v>
      </c>
      <c r="D10" s="332" t="s">
        <v>80</v>
      </c>
      <c r="E10" s="322" t="s">
        <v>708</v>
      </c>
      <c r="F10" s="323" t="s">
        <v>70</v>
      </c>
      <c r="G10" s="323" t="s">
        <v>71</v>
      </c>
      <c r="H10" s="329" t="s">
        <v>709</v>
      </c>
      <c r="I10" s="326"/>
      <c r="J10" s="327">
        <v>16.0</v>
      </c>
      <c r="K10" s="333"/>
      <c r="L10" s="327"/>
      <c r="M10" s="334"/>
      <c r="N10" s="327" t="s">
        <v>260</v>
      </c>
      <c r="O10" s="327" t="s">
        <v>263</v>
      </c>
      <c r="P10" s="327">
        <v>1.0</v>
      </c>
      <c r="Q10" s="327"/>
      <c r="R10" s="327"/>
      <c r="S10" s="327"/>
      <c r="T10" s="328"/>
      <c r="U10" s="155"/>
      <c r="V10" s="155"/>
    </row>
    <row r="11" hidden="1">
      <c r="A11" s="319">
        <v>10.0</v>
      </c>
      <c r="B11" s="320" t="s">
        <v>70</v>
      </c>
      <c r="C11" s="332" t="s">
        <v>20</v>
      </c>
      <c r="D11" s="332" t="s">
        <v>81</v>
      </c>
      <c r="E11" s="322"/>
      <c r="F11" s="323"/>
      <c r="G11" s="323"/>
      <c r="H11" s="329"/>
      <c r="I11" s="326">
        <v>10.0</v>
      </c>
      <c r="J11" s="327">
        <v>10.0</v>
      </c>
      <c r="K11" s="331" t="s">
        <v>453</v>
      </c>
      <c r="L11" s="327"/>
      <c r="M11" s="318">
        <v>24.0</v>
      </c>
      <c r="N11" s="327" t="s">
        <v>260</v>
      </c>
      <c r="O11" s="327"/>
      <c r="P11" s="327"/>
      <c r="Q11" s="327"/>
      <c r="R11" s="327"/>
      <c r="S11" s="327"/>
      <c r="T11" s="328"/>
      <c r="U11" s="155"/>
      <c r="V11" s="155"/>
    </row>
    <row r="12" hidden="1">
      <c r="A12" s="319">
        <v>11.0</v>
      </c>
      <c r="B12" s="320" t="s">
        <v>70</v>
      </c>
      <c r="C12" s="332" t="s">
        <v>20</v>
      </c>
      <c r="D12" s="332" t="s">
        <v>82</v>
      </c>
      <c r="E12" s="322" t="s">
        <v>710</v>
      </c>
      <c r="F12" s="323" t="s">
        <v>70</v>
      </c>
      <c r="G12" s="323" t="s">
        <v>711</v>
      </c>
      <c r="H12" s="329" t="s">
        <v>712</v>
      </c>
      <c r="I12" s="326"/>
      <c r="J12" s="327"/>
      <c r="K12" s="335" t="s">
        <v>267</v>
      </c>
      <c r="L12" s="327"/>
      <c r="M12" s="318" t="s">
        <v>268</v>
      </c>
      <c r="N12" s="327" t="s">
        <v>260</v>
      </c>
      <c r="O12" s="327" t="s">
        <v>261</v>
      </c>
      <c r="P12" s="327">
        <v>1.0</v>
      </c>
      <c r="Q12" s="327"/>
      <c r="R12" s="327"/>
      <c r="S12" s="327"/>
      <c r="T12" s="328"/>
      <c r="U12" s="155"/>
      <c r="V12" s="155"/>
    </row>
    <row r="13" hidden="1">
      <c r="A13" s="319">
        <v>12.0</v>
      </c>
      <c r="B13" s="320" t="s">
        <v>70</v>
      </c>
      <c r="C13" s="332" t="s">
        <v>20</v>
      </c>
      <c r="D13" s="332" t="s">
        <v>83</v>
      </c>
      <c r="E13" s="322" t="s">
        <v>713</v>
      </c>
      <c r="F13" s="323" t="s">
        <v>70</v>
      </c>
      <c r="G13" s="323" t="s">
        <v>714</v>
      </c>
      <c r="H13" s="329" t="s">
        <v>715</v>
      </c>
      <c r="I13" s="326"/>
      <c r="J13" s="327">
        <v>24.0</v>
      </c>
      <c r="K13" s="333"/>
      <c r="L13" s="327"/>
      <c r="M13" s="334"/>
      <c r="N13" s="327" t="s">
        <v>260</v>
      </c>
      <c r="O13" s="327" t="s">
        <v>269</v>
      </c>
      <c r="P13" s="327">
        <v>0.0</v>
      </c>
      <c r="Q13" s="327"/>
      <c r="R13" s="327"/>
      <c r="S13" s="327"/>
      <c r="T13" s="328"/>
      <c r="U13" s="155"/>
      <c r="V13" s="155"/>
    </row>
    <row r="14" hidden="1">
      <c r="A14" s="319">
        <v>13.0</v>
      </c>
      <c r="B14" s="320" t="s">
        <v>70</v>
      </c>
      <c r="C14" s="332" t="s">
        <v>20</v>
      </c>
      <c r="D14" s="332" t="s">
        <v>84</v>
      </c>
      <c r="E14" s="322" t="s">
        <v>716</v>
      </c>
      <c r="F14" s="323" t="s">
        <v>70</v>
      </c>
      <c r="G14" s="323" t="s">
        <v>20</v>
      </c>
      <c r="H14" s="329" t="s">
        <v>717</v>
      </c>
      <c r="I14" s="326"/>
      <c r="J14" s="327"/>
      <c r="K14" s="335" t="s">
        <v>270</v>
      </c>
      <c r="L14" s="327"/>
      <c r="M14" s="318" t="s">
        <v>268</v>
      </c>
      <c r="N14" s="327" t="s">
        <v>260</v>
      </c>
      <c r="O14" s="327" t="s">
        <v>261</v>
      </c>
      <c r="P14" s="327">
        <v>1.0</v>
      </c>
      <c r="Q14" s="327"/>
      <c r="R14" s="327"/>
      <c r="S14" s="327"/>
      <c r="T14" s="328"/>
      <c r="U14" s="155"/>
      <c r="V14" s="155"/>
    </row>
    <row r="15" hidden="1">
      <c r="A15" s="319"/>
      <c r="B15" s="320"/>
      <c r="C15" s="332"/>
      <c r="D15" s="332"/>
      <c r="E15" s="322" t="s">
        <v>718</v>
      </c>
      <c r="F15" s="323" t="s">
        <v>70</v>
      </c>
      <c r="G15" s="323" t="s">
        <v>719</v>
      </c>
      <c r="H15" s="329" t="s">
        <v>720</v>
      </c>
      <c r="I15" s="326"/>
      <c r="J15" s="327"/>
      <c r="K15" s="333"/>
      <c r="L15" s="327"/>
      <c r="M15" s="334"/>
      <c r="N15" s="327"/>
      <c r="O15" s="327"/>
      <c r="P15" s="327">
        <v>0.0</v>
      </c>
      <c r="Q15" s="327"/>
      <c r="R15" s="327"/>
      <c r="S15" s="327"/>
      <c r="T15" s="328"/>
      <c r="U15" s="155"/>
      <c r="V15" s="155"/>
    </row>
    <row r="16" hidden="1">
      <c r="A16" s="319">
        <v>14.0</v>
      </c>
      <c r="B16" s="320" t="s">
        <v>70</v>
      </c>
      <c r="C16" s="332" t="s">
        <v>20</v>
      </c>
      <c r="D16" s="332" t="s">
        <v>85</v>
      </c>
      <c r="E16" s="322" t="s">
        <v>721</v>
      </c>
      <c r="F16" s="323" t="s">
        <v>70</v>
      </c>
      <c r="G16" s="323" t="s">
        <v>722</v>
      </c>
      <c r="H16" s="329" t="s">
        <v>723</v>
      </c>
      <c r="I16" s="326">
        <v>6.0</v>
      </c>
      <c r="J16" s="327">
        <v>6.0</v>
      </c>
      <c r="K16" s="333"/>
      <c r="L16" s="327"/>
      <c r="M16" s="334"/>
      <c r="N16" s="327" t="s">
        <v>260</v>
      </c>
      <c r="O16" s="327" t="s">
        <v>269</v>
      </c>
      <c r="P16" s="327">
        <v>0.0</v>
      </c>
      <c r="Q16" s="327"/>
      <c r="R16" s="327"/>
      <c r="S16" s="327"/>
      <c r="T16" s="328"/>
      <c r="U16" s="155"/>
      <c r="V16" s="155"/>
    </row>
    <row r="17" hidden="1">
      <c r="A17" s="319">
        <v>15.0</v>
      </c>
      <c r="B17" s="320" t="s">
        <v>70</v>
      </c>
      <c r="C17" s="332" t="s">
        <v>20</v>
      </c>
      <c r="D17" s="332" t="s">
        <v>86</v>
      </c>
      <c r="E17" s="322" t="s">
        <v>724</v>
      </c>
      <c r="F17" s="323" t="s">
        <v>70</v>
      </c>
      <c r="G17" s="323" t="s">
        <v>71</v>
      </c>
      <c r="H17" s="329" t="s">
        <v>725</v>
      </c>
      <c r="I17" s="326">
        <v>4.0</v>
      </c>
      <c r="J17" s="327">
        <v>4.0</v>
      </c>
      <c r="K17" s="333"/>
      <c r="L17" s="327"/>
      <c r="M17" s="334"/>
      <c r="N17" s="327" t="s">
        <v>260</v>
      </c>
      <c r="O17" s="327" t="s">
        <v>269</v>
      </c>
      <c r="P17" s="327">
        <v>1.0</v>
      </c>
      <c r="Q17" s="327"/>
      <c r="R17" s="327"/>
      <c r="S17" s="327"/>
      <c r="T17" s="328"/>
      <c r="U17" s="155"/>
      <c r="V17" s="155"/>
    </row>
    <row r="18" hidden="1">
      <c r="A18" s="319">
        <v>16.0</v>
      </c>
      <c r="B18" s="336" t="s">
        <v>726</v>
      </c>
      <c r="C18" s="337" t="s">
        <v>88</v>
      </c>
      <c r="D18" s="337" t="s">
        <v>89</v>
      </c>
      <c r="E18" s="338" t="s">
        <v>727</v>
      </c>
      <c r="F18" s="323" t="s">
        <v>726</v>
      </c>
      <c r="G18" s="323" t="s">
        <v>71</v>
      </c>
      <c r="H18" s="329" t="s">
        <v>728</v>
      </c>
      <c r="I18" s="327">
        <v>4.0</v>
      </c>
      <c r="J18" s="327">
        <v>4.0</v>
      </c>
      <c r="K18" s="335" t="s">
        <v>271</v>
      </c>
      <c r="L18" s="339"/>
      <c r="M18" s="340" t="s">
        <v>272</v>
      </c>
      <c r="N18" s="327" t="s">
        <v>260</v>
      </c>
      <c r="O18" s="339" t="s">
        <v>269</v>
      </c>
      <c r="P18" s="339">
        <v>1.0</v>
      </c>
      <c r="Q18" s="341"/>
      <c r="R18" s="341"/>
      <c r="S18" s="341"/>
      <c r="T18" s="342"/>
      <c r="U18" s="155"/>
      <c r="V18" s="155"/>
    </row>
    <row r="19" hidden="1">
      <c r="A19" s="319">
        <v>17.0</v>
      </c>
      <c r="B19" s="336" t="s">
        <v>726</v>
      </c>
      <c r="C19" s="337" t="s">
        <v>20</v>
      </c>
      <c r="D19" s="337" t="s">
        <v>273</v>
      </c>
      <c r="E19" s="338" t="s">
        <v>729</v>
      </c>
      <c r="F19" s="323" t="s">
        <v>726</v>
      </c>
      <c r="G19" s="323" t="s">
        <v>71</v>
      </c>
      <c r="H19" s="329" t="s">
        <v>730</v>
      </c>
      <c r="I19" s="327"/>
      <c r="J19" s="327"/>
      <c r="K19" s="340"/>
      <c r="L19" s="339"/>
      <c r="M19" s="334"/>
      <c r="N19" s="327" t="s">
        <v>260</v>
      </c>
      <c r="O19" s="339"/>
      <c r="P19" s="339">
        <v>0.0</v>
      </c>
      <c r="Q19" s="341"/>
      <c r="R19" s="341"/>
      <c r="S19" s="341"/>
      <c r="T19" s="342"/>
      <c r="U19" s="155"/>
      <c r="V19" s="155"/>
    </row>
    <row r="20" hidden="1">
      <c r="A20" s="319">
        <v>20.0</v>
      </c>
      <c r="B20" s="336" t="s">
        <v>726</v>
      </c>
      <c r="C20" s="337" t="s">
        <v>20</v>
      </c>
      <c r="D20" s="337" t="s">
        <v>92</v>
      </c>
      <c r="E20" s="338" t="s">
        <v>731</v>
      </c>
      <c r="F20" s="323" t="s">
        <v>726</v>
      </c>
      <c r="G20" s="323" t="s">
        <v>71</v>
      </c>
      <c r="H20" s="329" t="s">
        <v>732</v>
      </c>
      <c r="I20" s="339">
        <v>16.0</v>
      </c>
      <c r="J20" s="339">
        <v>16.0</v>
      </c>
      <c r="K20" s="340" t="s">
        <v>281</v>
      </c>
      <c r="L20" s="339"/>
      <c r="M20" s="334"/>
      <c r="N20" s="327" t="s">
        <v>260</v>
      </c>
      <c r="O20" s="339" t="s">
        <v>277</v>
      </c>
      <c r="P20" s="339">
        <v>1.0</v>
      </c>
      <c r="Q20" s="341"/>
      <c r="R20" s="341"/>
      <c r="S20" s="341"/>
      <c r="T20" s="342"/>
      <c r="U20" s="155"/>
      <c r="V20" s="155"/>
    </row>
    <row r="21" hidden="1">
      <c r="A21" s="319">
        <v>22.0</v>
      </c>
      <c r="B21" s="336" t="s">
        <v>726</v>
      </c>
      <c r="C21" s="337" t="s">
        <v>20</v>
      </c>
      <c r="D21" s="337" t="s">
        <v>94</v>
      </c>
      <c r="E21" s="338" t="s">
        <v>733</v>
      </c>
      <c r="F21" s="323" t="s">
        <v>726</v>
      </c>
      <c r="G21" s="323" t="s">
        <v>20</v>
      </c>
      <c r="H21" s="329" t="s">
        <v>734</v>
      </c>
      <c r="I21" s="341"/>
      <c r="J21" s="341"/>
      <c r="K21" s="333"/>
      <c r="L21" s="339"/>
      <c r="M21" s="334"/>
      <c r="N21" s="327" t="s">
        <v>260</v>
      </c>
      <c r="O21" s="339" t="s">
        <v>277</v>
      </c>
      <c r="P21" s="339">
        <v>1.0</v>
      </c>
      <c r="Q21" s="341"/>
      <c r="R21" s="341"/>
      <c r="S21" s="341"/>
      <c r="T21" s="342"/>
      <c r="U21" s="155"/>
      <c r="V21" s="155"/>
    </row>
    <row r="22" hidden="1">
      <c r="A22" s="319">
        <v>23.0</v>
      </c>
      <c r="B22" s="336" t="s">
        <v>726</v>
      </c>
      <c r="C22" s="337" t="s">
        <v>20</v>
      </c>
      <c r="D22" s="337" t="s">
        <v>95</v>
      </c>
      <c r="E22" s="338" t="s">
        <v>735</v>
      </c>
      <c r="F22" s="323" t="s">
        <v>726</v>
      </c>
      <c r="G22" s="323" t="s">
        <v>71</v>
      </c>
      <c r="H22" s="329" t="s">
        <v>736</v>
      </c>
      <c r="I22" s="341"/>
      <c r="J22" s="341"/>
      <c r="K22" s="333"/>
      <c r="L22" s="339"/>
      <c r="M22" s="334"/>
      <c r="N22" s="327" t="s">
        <v>260</v>
      </c>
      <c r="O22" s="339" t="s">
        <v>269</v>
      </c>
      <c r="P22" s="339">
        <v>0.0</v>
      </c>
      <c r="Q22" s="341"/>
      <c r="R22" s="341"/>
      <c r="S22" s="341"/>
      <c r="T22" s="342"/>
      <c r="U22" s="155"/>
      <c r="V22" s="155"/>
    </row>
    <row r="23">
      <c r="A23" s="319">
        <v>29.0</v>
      </c>
      <c r="B23" s="336" t="s">
        <v>726</v>
      </c>
      <c r="C23" s="337" t="s">
        <v>20</v>
      </c>
      <c r="D23" s="337" t="s">
        <v>102</v>
      </c>
      <c r="E23" s="338" t="s">
        <v>737</v>
      </c>
      <c r="F23" s="323" t="s">
        <v>726</v>
      </c>
      <c r="G23" s="323" t="s">
        <v>71</v>
      </c>
      <c r="H23" s="329" t="s">
        <v>738</v>
      </c>
      <c r="I23" s="339">
        <v>2.0</v>
      </c>
      <c r="J23" s="339">
        <v>2.0</v>
      </c>
      <c r="K23" s="331" t="s">
        <v>290</v>
      </c>
      <c r="L23" s="343"/>
      <c r="M23" s="318" t="s">
        <v>739</v>
      </c>
      <c r="N23" s="327" t="s">
        <v>260</v>
      </c>
      <c r="O23" s="339" t="s">
        <v>263</v>
      </c>
      <c r="P23" s="339">
        <v>2.0</v>
      </c>
      <c r="Q23" s="341"/>
      <c r="R23" s="341"/>
      <c r="S23" s="341"/>
      <c r="T23" s="342"/>
      <c r="U23" s="155"/>
      <c r="V23" s="155"/>
    </row>
    <row r="24" hidden="1">
      <c r="A24" s="319">
        <v>31.0</v>
      </c>
      <c r="B24" s="336" t="s">
        <v>726</v>
      </c>
      <c r="C24" s="337"/>
      <c r="D24" s="337"/>
      <c r="E24" s="338" t="s">
        <v>740</v>
      </c>
      <c r="F24" s="323"/>
      <c r="G24" s="323"/>
      <c r="H24" s="329"/>
      <c r="I24" s="339">
        <v>2.0</v>
      </c>
      <c r="J24" s="339">
        <v>2.0</v>
      </c>
      <c r="K24" s="340"/>
      <c r="L24" s="339"/>
      <c r="M24" s="334"/>
      <c r="N24" s="327"/>
      <c r="O24" s="339"/>
      <c r="P24" s="341"/>
      <c r="Q24" s="341"/>
      <c r="R24" s="341"/>
      <c r="S24" s="341"/>
      <c r="T24" s="342"/>
      <c r="U24" s="155"/>
      <c r="V24" s="155"/>
    </row>
    <row r="25" hidden="1">
      <c r="A25" s="319">
        <v>36.0</v>
      </c>
      <c r="B25" s="336" t="s">
        <v>726</v>
      </c>
      <c r="C25" s="337" t="s">
        <v>71</v>
      </c>
      <c r="D25" s="337" t="s">
        <v>741</v>
      </c>
      <c r="E25" s="338" t="s">
        <v>742</v>
      </c>
      <c r="F25" s="323" t="s">
        <v>726</v>
      </c>
      <c r="G25" s="323" t="s">
        <v>71</v>
      </c>
      <c r="H25" s="329" t="s">
        <v>743</v>
      </c>
      <c r="I25" s="339">
        <v>16.0</v>
      </c>
      <c r="J25" s="339">
        <v>36.0</v>
      </c>
      <c r="K25" s="344"/>
      <c r="L25" s="339"/>
      <c r="M25" s="334"/>
      <c r="N25" s="327" t="s">
        <v>260</v>
      </c>
      <c r="O25" s="339" t="s">
        <v>269</v>
      </c>
      <c r="P25" s="339">
        <v>1.0</v>
      </c>
      <c r="Q25" s="341"/>
      <c r="R25" s="341"/>
      <c r="S25" s="341"/>
      <c r="T25" s="342"/>
      <c r="U25" s="155"/>
      <c r="V25" s="155"/>
    </row>
    <row r="26" hidden="1">
      <c r="A26" s="319">
        <v>37.0</v>
      </c>
      <c r="B26" s="336" t="s">
        <v>726</v>
      </c>
      <c r="C26" s="337" t="s">
        <v>109</v>
      </c>
      <c r="D26" s="337" t="s">
        <v>110</v>
      </c>
      <c r="E26" s="338" t="s">
        <v>744</v>
      </c>
      <c r="F26" s="323" t="s">
        <v>726</v>
      </c>
      <c r="G26" s="323" t="s">
        <v>20</v>
      </c>
      <c r="H26" s="329" t="s">
        <v>745</v>
      </c>
      <c r="I26" s="339"/>
      <c r="J26" s="339"/>
      <c r="K26" s="333"/>
      <c r="L26" s="339"/>
      <c r="M26" s="334"/>
      <c r="N26" s="327" t="s">
        <v>260</v>
      </c>
      <c r="O26" s="339" t="s">
        <v>261</v>
      </c>
      <c r="P26" s="339">
        <v>1.0</v>
      </c>
      <c r="Q26" s="341"/>
      <c r="R26" s="341"/>
      <c r="S26" s="341"/>
      <c r="T26" s="342"/>
      <c r="U26" s="155"/>
      <c r="V26" s="155"/>
    </row>
    <row r="27" hidden="1">
      <c r="A27" s="319">
        <v>38.0</v>
      </c>
      <c r="B27" s="336" t="s">
        <v>726</v>
      </c>
      <c r="C27" s="337" t="s">
        <v>109</v>
      </c>
      <c r="D27" s="337" t="s">
        <v>111</v>
      </c>
      <c r="E27" s="338" t="s">
        <v>746</v>
      </c>
      <c r="F27" s="323" t="s">
        <v>726</v>
      </c>
      <c r="G27" s="323" t="s">
        <v>71</v>
      </c>
      <c r="H27" s="329" t="s">
        <v>747</v>
      </c>
      <c r="I27" s="341"/>
      <c r="J27" s="341"/>
      <c r="K27" s="345" t="s">
        <v>297</v>
      </c>
      <c r="L27" s="339"/>
      <c r="M27" s="334"/>
      <c r="N27" s="327" t="s">
        <v>260</v>
      </c>
      <c r="O27" s="339" t="s">
        <v>269</v>
      </c>
      <c r="P27" s="339">
        <v>1.0</v>
      </c>
      <c r="Q27" s="341"/>
      <c r="R27" s="341"/>
      <c r="S27" s="341"/>
      <c r="T27" s="342"/>
      <c r="U27" s="155"/>
      <c r="V27" s="155"/>
    </row>
    <row r="28" hidden="1">
      <c r="A28" s="319">
        <v>39.0</v>
      </c>
      <c r="B28" s="336" t="s">
        <v>726</v>
      </c>
      <c r="C28" s="337" t="s">
        <v>109</v>
      </c>
      <c r="D28" s="337" t="s">
        <v>112</v>
      </c>
      <c r="E28" s="338" t="s">
        <v>748</v>
      </c>
      <c r="F28" s="323" t="s">
        <v>726</v>
      </c>
      <c r="G28" s="323" t="s">
        <v>20</v>
      </c>
      <c r="H28" s="329" t="s">
        <v>749</v>
      </c>
      <c r="I28" s="339">
        <v>2.0</v>
      </c>
      <c r="J28" s="339">
        <v>2.0</v>
      </c>
      <c r="K28" s="340" t="s">
        <v>298</v>
      </c>
      <c r="L28" s="339"/>
      <c r="M28" s="334"/>
      <c r="N28" s="327" t="s">
        <v>260</v>
      </c>
      <c r="O28" s="339" t="s">
        <v>261</v>
      </c>
      <c r="P28" s="339">
        <v>1.0</v>
      </c>
      <c r="Q28" s="339">
        <v>1.0</v>
      </c>
      <c r="R28" s="339">
        <v>1.0</v>
      </c>
      <c r="S28" s="341"/>
      <c r="T28" s="342"/>
      <c r="U28" s="155"/>
      <c r="V28" s="155"/>
    </row>
    <row r="29" hidden="1">
      <c r="A29" s="319">
        <v>40.0</v>
      </c>
      <c r="B29" s="336" t="s">
        <v>726</v>
      </c>
      <c r="C29" s="337" t="s">
        <v>109</v>
      </c>
      <c r="D29" s="337" t="s">
        <v>113</v>
      </c>
      <c r="E29" s="338" t="s">
        <v>750</v>
      </c>
      <c r="F29" s="323" t="s">
        <v>726</v>
      </c>
      <c r="G29" s="323" t="s">
        <v>71</v>
      </c>
      <c r="H29" s="329" t="s">
        <v>751</v>
      </c>
      <c r="I29" s="341"/>
      <c r="J29" s="341"/>
      <c r="K29" s="340"/>
      <c r="L29" s="339"/>
      <c r="M29" s="334"/>
      <c r="N29" s="327" t="s">
        <v>260</v>
      </c>
      <c r="O29" s="339" t="s">
        <v>261</v>
      </c>
      <c r="P29" s="339">
        <v>1.0</v>
      </c>
      <c r="Q29" s="339">
        <v>1.0</v>
      </c>
      <c r="R29" s="339">
        <v>1.0</v>
      </c>
      <c r="S29" s="341"/>
      <c r="T29" s="342"/>
      <c r="U29" s="155"/>
      <c r="V29" s="155"/>
    </row>
    <row r="30" hidden="1">
      <c r="A30" s="319">
        <v>41.0</v>
      </c>
      <c r="B30" s="346" t="s">
        <v>114</v>
      </c>
      <c r="C30" s="347" t="s">
        <v>88</v>
      </c>
      <c r="D30" s="347" t="s">
        <v>115</v>
      </c>
      <c r="E30" s="348" t="s">
        <v>752</v>
      </c>
      <c r="F30" s="329" t="s">
        <v>753</v>
      </c>
      <c r="G30" s="329" t="s">
        <v>71</v>
      </c>
      <c r="H30" s="329" t="s">
        <v>754</v>
      </c>
      <c r="I30" s="339">
        <v>16.0</v>
      </c>
      <c r="J30" s="339">
        <v>16.0</v>
      </c>
      <c r="K30" s="333"/>
      <c r="L30" s="349"/>
      <c r="M30" s="334"/>
      <c r="N30" s="327" t="s">
        <v>260</v>
      </c>
      <c r="O30" s="339" t="s">
        <v>269</v>
      </c>
      <c r="P30" s="349">
        <v>1.0</v>
      </c>
      <c r="Q30" s="349">
        <v>1.0</v>
      </c>
      <c r="R30" s="349">
        <v>1.0</v>
      </c>
      <c r="S30" s="350"/>
      <c r="T30" s="351"/>
      <c r="U30" s="155"/>
      <c r="V30" s="155"/>
    </row>
    <row r="31" hidden="1">
      <c r="A31" s="319">
        <v>42.0</v>
      </c>
      <c r="B31" s="346" t="s">
        <v>114</v>
      </c>
      <c r="C31" s="347" t="s">
        <v>88</v>
      </c>
      <c r="D31" s="347" t="s">
        <v>116</v>
      </c>
      <c r="F31" s="329"/>
      <c r="G31" s="329"/>
      <c r="H31" s="329"/>
      <c r="I31" s="339">
        <v>8.0</v>
      </c>
      <c r="J31" s="339">
        <v>8.0</v>
      </c>
      <c r="K31" s="340" t="s">
        <v>299</v>
      </c>
      <c r="L31" s="349"/>
      <c r="M31" s="334"/>
      <c r="N31" s="327" t="s">
        <v>260</v>
      </c>
      <c r="O31" s="339" t="s">
        <v>269</v>
      </c>
      <c r="P31" s="350"/>
      <c r="Q31" s="350"/>
      <c r="R31" s="350"/>
      <c r="S31" s="350"/>
      <c r="T31" s="351"/>
      <c r="U31" s="155"/>
      <c r="V31" s="155"/>
    </row>
    <row r="32" hidden="1">
      <c r="A32" s="319">
        <v>43.0</v>
      </c>
      <c r="B32" s="346" t="s">
        <v>114</v>
      </c>
      <c r="C32" s="347" t="s">
        <v>88</v>
      </c>
      <c r="D32" s="347" t="s">
        <v>117</v>
      </c>
      <c r="E32" s="348" t="s">
        <v>755</v>
      </c>
      <c r="F32" s="329" t="s">
        <v>753</v>
      </c>
      <c r="G32" s="329" t="s">
        <v>71</v>
      </c>
      <c r="H32" s="329" t="s">
        <v>756</v>
      </c>
      <c r="I32" s="352">
        <v>4.0</v>
      </c>
      <c r="J32" s="352">
        <v>4.0</v>
      </c>
      <c r="K32" s="333"/>
      <c r="L32" s="349"/>
      <c r="M32" s="334"/>
      <c r="N32" s="327" t="s">
        <v>260</v>
      </c>
      <c r="O32" s="339" t="s">
        <v>269</v>
      </c>
      <c r="P32" s="349">
        <v>1.0</v>
      </c>
      <c r="Q32" s="350"/>
      <c r="R32" s="350"/>
      <c r="S32" s="350"/>
      <c r="T32" s="351"/>
      <c r="U32" s="155"/>
      <c r="V32" s="155"/>
    </row>
    <row r="33" hidden="1">
      <c r="A33" s="319">
        <v>44.0</v>
      </c>
      <c r="B33" s="346" t="s">
        <v>118</v>
      </c>
      <c r="C33" s="347" t="s">
        <v>88</v>
      </c>
      <c r="D33" s="347" t="s">
        <v>119</v>
      </c>
      <c r="E33" s="348" t="s">
        <v>757</v>
      </c>
      <c r="F33" s="329" t="s">
        <v>758</v>
      </c>
      <c r="G33" s="329" t="s">
        <v>71</v>
      </c>
      <c r="H33" s="329" t="s">
        <v>759</v>
      </c>
      <c r="I33" s="353"/>
      <c r="J33" s="353"/>
      <c r="K33" s="333"/>
      <c r="L33" s="354"/>
      <c r="M33" s="334"/>
      <c r="N33" s="327" t="s">
        <v>260</v>
      </c>
      <c r="O33" s="339" t="s">
        <v>269</v>
      </c>
      <c r="P33" s="354">
        <v>1.0</v>
      </c>
      <c r="Q33" s="355"/>
      <c r="R33" s="355"/>
      <c r="S33" s="355"/>
      <c r="T33" s="356"/>
      <c r="U33" s="155"/>
      <c r="V33" s="155"/>
    </row>
    <row r="34" hidden="1">
      <c r="A34" s="319">
        <v>47.0</v>
      </c>
      <c r="B34" s="346" t="s">
        <v>118</v>
      </c>
      <c r="C34" s="347" t="s">
        <v>20</v>
      </c>
      <c r="D34" s="347" t="s">
        <v>302</v>
      </c>
      <c r="E34" s="348" t="s">
        <v>760</v>
      </c>
      <c r="F34" s="329" t="s">
        <v>758</v>
      </c>
      <c r="G34" s="329" t="s">
        <v>20</v>
      </c>
      <c r="H34" s="329" t="s">
        <v>761</v>
      </c>
      <c r="I34" s="353"/>
      <c r="J34" s="353"/>
      <c r="K34" s="357"/>
      <c r="L34" s="354"/>
      <c r="M34" s="334"/>
      <c r="N34" s="327" t="s">
        <v>260</v>
      </c>
      <c r="O34" s="339" t="s">
        <v>303</v>
      </c>
      <c r="P34" s="354">
        <v>1.0</v>
      </c>
      <c r="Q34" s="355"/>
      <c r="R34" s="355"/>
      <c r="S34" s="355"/>
      <c r="T34" s="356"/>
      <c r="U34" s="155"/>
      <c r="V34" s="155"/>
    </row>
    <row r="35" hidden="1">
      <c r="A35" s="319">
        <v>49.0</v>
      </c>
      <c r="B35" s="346" t="s">
        <v>118</v>
      </c>
      <c r="C35" s="347" t="s">
        <v>20</v>
      </c>
      <c r="D35" s="347" t="s">
        <v>305</v>
      </c>
      <c r="E35" s="348" t="s">
        <v>762</v>
      </c>
      <c r="F35" s="329" t="s">
        <v>758</v>
      </c>
      <c r="G35" s="329" t="s">
        <v>20</v>
      </c>
      <c r="H35" s="329" t="s">
        <v>763</v>
      </c>
      <c r="I35" s="358"/>
      <c r="J35" s="358"/>
      <c r="K35" s="358"/>
      <c r="L35" s="354"/>
      <c r="M35" s="334"/>
      <c r="N35" s="327" t="s">
        <v>260</v>
      </c>
      <c r="O35" s="339" t="s">
        <v>263</v>
      </c>
      <c r="P35" s="354">
        <v>1.0</v>
      </c>
      <c r="Q35" s="355"/>
      <c r="R35" s="355"/>
      <c r="S35" s="355"/>
      <c r="T35" s="356"/>
      <c r="U35" s="155"/>
      <c r="V35" s="155"/>
    </row>
    <row r="36" hidden="1">
      <c r="A36" s="319">
        <v>54.0</v>
      </c>
      <c r="B36" s="346" t="s">
        <v>118</v>
      </c>
      <c r="C36" s="347" t="s">
        <v>20</v>
      </c>
      <c r="D36" s="347" t="s">
        <v>129</v>
      </c>
      <c r="E36" s="348" t="s">
        <v>764</v>
      </c>
      <c r="F36" s="329" t="s">
        <v>758</v>
      </c>
      <c r="G36" s="329" t="s">
        <v>20</v>
      </c>
      <c r="H36" s="329" t="s">
        <v>765</v>
      </c>
      <c r="I36" s="355"/>
      <c r="J36" s="355"/>
      <c r="K36" s="333"/>
      <c r="L36" s="354"/>
      <c r="M36" s="334"/>
      <c r="N36" s="327" t="s">
        <v>260</v>
      </c>
      <c r="O36" s="339" t="s">
        <v>277</v>
      </c>
      <c r="P36" s="354">
        <v>1.0</v>
      </c>
      <c r="Q36" s="354">
        <v>1.0</v>
      </c>
      <c r="R36" s="354">
        <v>1.0</v>
      </c>
      <c r="S36" s="355"/>
      <c r="T36" s="356"/>
      <c r="U36" s="155"/>
      <c r="V36" s="155"/>
    </row>
    <row r="37" hidden="1">
      <c r="A37" s="319">
        <v>55.0</v>
      </c>
      <c r="B37" s="346" t="s">
        <v>118</v>
      </c>
      <c r="C37" s="347" t="s">
        <v>20</v>
      </c>
      <c r="D37" s="347" t="s">
        <v>307</v>
      </c>
      <c r="E37" s="348" t="s">
        <v>766</v>
      </c>
      <c r="F37" s="329" t="s">
        <v>758</v>
      </c>
      <c r="G37" s="329" t="s">
        <v>20</v>
      </c>
      <c r="H37" s="329" t="s">
        <v>767</v>
      </c>
      <c r="I37" s="355"/>
      <c r="J37" s="355"/>
      <c r="K37" s="340" t="s">
        <v>308</v>
      </c>
      <c r="L37" s="354"/>
      <c r="M37" s="334"/>
      <c r="N37" s="327" t="s">
        <v>260</v>
      </c>
      <c r="O37" s="339" t="s">
        <v>269</v>
      </c>
      <c r="P37" s="354">
        <v>1.0</v>
      </c>
      <c r="Q37" s="355"/>
      <c r="R37" s="355"/>
      <c r="S37" s="355"/>
      <c r="T37" s="356"/>
      <c r="U37" s="155"/>
      <c r="V37" s="155"/>
    </row>
    <row r="38" hidden="1">
      <c r="A38" s="319">
        <v>56.0</v>
      </c>
      <c r="B38" s="346" t="s">
        <v>118</v>
      </c>
      <c r="C38" s="347" t="s">
        <v>20</v>
      </c>
      <c r="D38" s="347" t="s">
        <v>311</v>
      </c>
      <c r="E38" s="348" t="s">
        <v>768</v>
      </c>
      <c r="F38" s="329" t="s">
        <v>758</v>
      </c>
      <c r="G38" s="329" t="s">
        <v>20</v>
      </c>
      <c r="H38" s="329" t="s">
        <v>769</v>
      </c>
      <c r="I38" s="354">
        <v>4.0</v>
      </c>
      <c r="J38" s="354">
        <v>4.0</v>
      </c>
      <c r="K38" s="340" t="s">
        <v>312</v>
      </c>
      <c r="L38" s="354" t="s">
        <v>770</v>
      </c>
      <c r="M38" s="334"/>
      <c r="N38" s="327" t="s">
        <v>260</v>
      </c>
      <c r="O38" s="339" t="s">
        <v>277</v>
      </c>
      <c r="P38" s="354">
        <v>1.0</v>
      </c>
      <c r="Q38" s="354">
        <v>1.0</v>
      </c>
      <c r="R38" s="354">
        <v>1.0</v>
      </c>
      <c r="S38" s="355"/>
      <c r="T38" s="356"/>
      <c r="U38" s="155"/>
      <c r="V38" s="155"/>
    </row>
    <row r="39" hidden="1">
      <c r="A39" s="319"/>
      <c r="B39" s="346" t="s">
        <v>118</v>
      </c>
      <c r="C39" s="347" t="s">
        <v>20</v>
      </c>
      <c r="D39" s="347" t="s">
        <v>314</v>
      </c>
      <c r="E39" s="348" t="s">
        <v>771</v>
      </c>
      <c r="F39" s="329" t="s">
        <v>758</v>
      </c>
      <c r="G39" s="329" t="s">
        <v>20</v>
      </c>
      <c r="H39" s="329" t="s">
        <v>772</v>
      </c>
      <c r="I39" s="354">
        <v>16.0</v>
      </c>
      <c r="J39" s="354">
        <v>16.0</v>
      </c>
      <c r="K39" s="340"/>
      <c r="L39" s="354"/>
      <c r="M39" s="334"/>
      <c r="N39" s="327" t="s">
        <v>260</v>
      </c>
      <c r="O39" s="339"/>
      <c r="P39" s="354">
        <v>1.0</v>
      </c>
      <c r="Q39" s="355"/>
      <c r="R39" s="355"/>
      <c r="S39" s="355"/>
      <c r="T39" s="356"/>
      <c r="U39" s="155"/>
      <c r="V39" s="155"/>
    </row>
    <row r="40" hidden="1">
      <c r="A40" s="319"/>
      <c r="B40" s="346" t="s">
        <v>118</v>
      </c>
      <c r="C40" s="347" t="s">
        <v>71</v>
      </c>
      <c r="D40" s="347" t="s">
        <v>315</v>
      </c>
      <c r="E40" s="348" t="s">
        <v>773</v>
      </c>
      <c r="F40" s="329" t="s">
        <v>758</v>
      </c>
      <c r="G40" s="329" t="s">
        <v>71</v>
      </c>
      <c r="H40" s="329" t="s">
        <v>774</v>
      </c>
      <c r="I40" s="354">
        <v>24.0</v>
      </c>
      <c r="J40" s="354">
        <v>32.0</v>
      </c>
      <c r="K40" s="340"/>
      <c r="L40" s="354"/>
      <c r="M40" s="334"/>
      <c r="N40" s="327" t="s">
        <v>260</v>
      </c>
      <c r="O40" s="339"/>
      <c r="P40" s="354">
        <v>1.0</v>
      </c>
      <c r="Q40" s="354">
        <v>1.0</v>
      </c>
      <c r="R40" s="354">
        <v>1.0</v>
      </c>
      <c r="S40" s="355"/>
      <c r="T40" s="356"/>
      <c r="U40" s="155"/>
      <c r="V40" s="155"/>
    </row>
    <row r="41" hidden="1">
      <c r="A41" s="319">
        <v>59.0</v>
      </c>
      <c r="B41" s="346" t="s">
        <v>118</v>
      </c>
      <c r="C41" s="347" t="s">
        <v>20</v>
      </c>
      <c r="D41" s="347" t="s">
        <v>135</v>
      </c>
      <c r="E41" s="348" t="s">
        <v>775</v>
      </c>
      <c r="F41" s="329" t="s">
        <v>758</v>
      </c>
      <c r="G41" s="329" t="s">
        <v>20</v>
      </c>
      <c r="H41" s="329" t="s">
        <v>776</v>
      </c>
      <c r="I41" s="355"/>
      <c r="J41" s="355"/>
      <c r="K41" s="340"/>
      <c r="L41" s="354"/>
      <c r="M41" s="334"/>
      <c r="N41" s="327" t="s">
        <v>260</v>
      </c>
      <c r="O41" s="339" t="s">
        <v>269</v>
      </c>
      <c r="P41" s="354">
        <v>2.0</v>
      </c>
      <c r="Q41" s="354">
        <v>1.0</v>
      </c>
      <c r="R41" s="355"/>
      <c r="S41" s="355"/>
      <c r="T41" s="356"/>
      <c r="U41" s="155"/>
      <c r="V41" s="155"/>
    </row>
    <row r="42" hidden="1">
      <c r="A42" s="319">
        <v>61.0</v>
      </c>
      <c r="B42" s="346" t="s">
        <v>118</v>
      </c>
      <c r="C42" s="347" t="s">
        <v>20</v>
      </c>
      <c r="D42" s="347" t="s">
        <v>137</v>
      </c>
      <c r="E42" s="348" t="s">
        <v>777</v>
      </c>
      <c r="F42" s="329" t="s">
        <v>758</v>
      </c>
      <c r="G42" s="329" t="s">
        <v>20</v>
      </c>
      <c r="H42" s="329" t="s">
        <v>778</v>
      </c>
      <c r="I42" s="355"/>
      <c r="J42" s="355"/>
      <c r="K42" s="340"/>
      <c r="L42" s="354"/>
      <c r="M42" s="334"/>
      <c r="N42" s="327" t="s">
        <v>260</v>
      </c>
      <c r="O42" s="339" t="s">
        <v>269</v>
      </c>
      <c r="P42" s="354">
        <v>1.0</v>
      </c>
      <c r="Q42" s="355"/>
      <c r="R42" s="355"/>
      <c r="S42" s="355"/>
      <c r="T42" s="356"/>
      <c r="U42" s="155"/>
      <c r="V42" s="155"/>
    </row>
    <row r="43" hidden="1">
      <c r="A43" s="319">
        <v>63.0</v>
      </c>
      <c r="B43" s="346" t="s">
        <v>118</v>
      </c>
      <c r="C43" s="347" t="s">
        <v>71</v>
      </c>
      <c r="D43" s="347" t="s">
        <v>139</v>
      </c>
      <c r="E43" s="348" t="s">
        <v>779</v>
      </c>
      <c r="F43" s="329" t="s">
        <v>758</v>
      </c>
      <c r="G43" s="329" t="s">
        <v>71</v>
      </c>
      <c r="H43" s="329" t="s">
        <v>780</v>
      </c>
      <c r="I43" s="354">
        <v>8.0</v>
      </c>
      <c r="J43" s="354">
        <v>8.0</v>
      </c>
      <c r="K43" s="333"/>
      <c r="L43" s="349"/>
      <c r="M43" s="334"/>
      <c r="N43" s="327" t="s">
        <v>260</v>
      </c>
      <c r="O43" s="339" t="s">
        <v>261</v>
      </c>
      <c r="P43" s="349">
        <v>2.0</v>
      </c>
      <c r="Q43" s="349">
        <v>1.0</v>
      </c>
      <c r="R43" s="350"/>
      <c r="S43" s="350"/>
      <c r="T43" s="351"/>
      <c r="U43" s="155"/>
      <c r="V43" s="155"/>
    </row>
    <row r="44" hidden="1">
      <c r="A44" s="319">
        <v>65.0</v>
      </c>
      <c r="B44" s="346" t="s">
        <v>118</v>
      </c>
      <c r="C44" s="347" t="s">
        <v>140</v>
      </c>
      <c r="D44" s="347" t="s">
        <v>142</v>
      </c>
      <c r="E44" s="348" t="s">
        <v>781</v>
      </c>
      <c r="F44" s="329" t="s">
        <v>758</v>
      </c>
      <c r="G44" s="329" t="s">
        <v>71</v>
      </c>
      <c r="H44" s="329" t="s">
        <v>782</v>
      </c>
      <c r="I44" s="354">
        <v>4.0</v>
      </c>
      <c r="J44" s="354">
        <v>4.0</v>
      </c>
      <c r="K44" s="333"/>
      <c r="L44" s="349"/>
      <c r="M44" s="334"/>
      <c r="N44" s="327" t="s">
        <v>260</v>
      </c>
      <c r="O44" s="339" t="s">
        <v>277</v>
      </c>
      <c r="P44" s="349">
        <v>1.0</v>
      </c>
      <c r="Q44" s="350"/>
      <c r="R44" s="350"/>
      <c r="S44" s="350"/>
      <c r="T44" s="351"/>
      <c r="U44" s="155"/>
      <c r="V44" s="155"/>
    </row>
    <row r="45" hidden="1">
      <c r="A45" s="319">
        <v>67.0</v>
      </c>
      <c r="B45" s="346" t="s">
        <v>118</v>
      </c>
      <c r="C45" s="347" t="s">
        <v>140</v>
      </c>
      <c r="D45" s="347" t="s">
        <v>144</v>
      </c>
      <c r="E45" s="348" t="s">
        <v>783</v>
      </c>
      <c r="F45" s="329" t="s">
        <v>758</v>
      </c>
      <c r="G45" s="329" t="s">
        <v>71</v>
      </c>
      <c r="H45" s="329" t="s">
        <v>784</v>
      </c>
      <c r="I45" s="350"/>
      <c r="J45" s="350"/>
      <c r="K45" s="333"/>
      <c r="L45" s="349"/>
      <c r="M45" s="334"/>
      <c r="N45" s="327" t="s">
        <v>260</v>
      </c>
      <c r="O45" s="339" t="s">
        <v>261</v>
      </c>
      <c r="P45" s="349">
        <v>0.0</v>
      </c>
      <c r="Q45" s="350"/>
      <c r="R45" s="350"/>
      <c r="S45" s="350"/>
      <c r="T45" s="351"/>
      <c r="U45" s="155"/>
      <c r="V45" s="155"/>
    </row>
    <row r="46" hidden="1">
      <c r="A46" s="319">
        <v>69.0</v>
      </c>
      <c r="B46" s="346" t="s">
        <v>118</v>
      </c>
      <c r="C46" s="347" t="s">
        <v>20</v>
      </c>
      <c r="D46" s="347" t="s">
        <v>146</v>
      </c>
      <c r="E46" s="348" t="s">
        <v>785</v>
      </c>
      <c r="F46" s="329" t="s">
        <v>758</v>
      </c>
      <c r="G46" s="329" t="s">
        <v>20</v>
      </c>
      <c r="H46" s="329" t="s">
        <v>786</v>
      </c>
      <c r="I46" s="349">
        <v>16.0</v>
      </c>
      <c r="J46" s="349">
        <v>16.0</v>
      </c>
      <c r="K46" s="333"/>
      <c r="L46" s="349"/>
      <c r="M46" s="334"/>
      <c r="N46" s="327" t="s">
        <v>260</v>
      </c>
      <c r="O46" s="339" t="s">
        <v>303</v>
      </c>
      <c r="P46" s="349">
        <v>1.0</v>
      </c>
      <c r="Q46" s="350"/>
      <c r="R46" s="350"/>
      <c r="S46" s="350"/>
      <c r="T46" s="351"/>
      <c r="U46" s="155"/>
      <c r="V46" s="155"/>
    </row>
    <row r="47" hidden="1">
      <c r="A47" s="319">
        <v>71.0</v>
      </c>
      <c r="B47" s="346" t="s">
        <v>118</v>
      </c>
      <c r="C47" s="347" t="s">
        <v>20</v>
      </c>
      <c r="D47" s="347" t="s">
        <v>148</v>
      </c>
      <c r="E47" s="348" t="s">
        <v>787</v>
      </c>
      <c r="F47" s="329" t="s">
        <v>758</v>
      </c>
      <c r="G47" s="329" t="s">
        <v>20</v>
      </c>
      <c r="H47" s="329" t="s">
        <v>788</v>
      </c>
      <c r="I47" s="349">
        <v>16.0</v>
      </c>
      <c r="J47" s="349"/>
      <c r="K47" s="333"/>
      <c r="L47" s="349"/>
      <c r="M47" s="334"/>
      <c r="N47" s="327" t="s">
        <v>260</v>
      </c>
      <c r="O47" s="339" t="s">
        <v>263</v>
      </c>
      <c r="P47" s="349">
        <v>1.0</v>
      </c>
      <c r="Q47" s="350"/>
      <c r="R47" s="350"/>
      <c r="S47" s="350"/>
      <c r="T47" s="351"/>
      <c r="U47" s="155"/>
      <c r="V47" s="155"/>
    </row>
    <row r="48" hidden="1">
      <c r="A48" s="319">
        <v>75.0</v>
      </c>
      <c r="B48" s="346" t="s">
        <v>118</v>
      </c>
      <c r="C48" s="347" t="s">
        <v>71</v>
      </c>
      <c r="D48" s="347" t="s">
        <v>152</v>
      </c>
      <c r="E48" s="348" t="s">
        <v>789</v>
      </c>
      <c r="F48" s="329" t="s">
        <v>758</v>
      </c>
      <c r="G48" s="329" t="s">
        <v>71</v>
      </c>
      <c r="H48" s="329" t="s">
        <v>790</v>
      </c>
      <c r="I48" s="349">
        <v>8.0</v>
      </c>
      <c r="J48" s="349">
        <v>8.0</v>
      </c>
      <c r="K48" s="333"/>
      <c r="L48" s="349"/>
      <c r="M48" s="334"/>
      <c r="N48" s="327" t="s">
        <v>260</v>
      </c>
      <c r="O48" s="339" t="s">
        <v>269</v>
      </c>
      <c r="P48" s="349">
        <v>1.0</v>
      </c>
      <c r="Q48" s="350"/>
      <c r="R48" s="350"/>
      <c r="S48" s="350"/>
      <c r="T48" s="351"/>
      <c r="U48" s="155"/>
      <c r="V48" s="155"/>
    </row>
    <row r="49" hidden="1">
      <c r="A49" s="319">
        <v>76.0</v>
      </c>
      <c r="B49" s="346" t="s">
        <v>118</v>
      </c>
      <c r="C49" s="347" t="s">
        <v>71</v>
      </c>
      <c r="D49" s="359" t="s">
        <v>153</v>
      </c>
      <c r="E49" s="348" t="s">
        <v>791</v>
      </c>
      <c r="F49" s="329" t="s">
        <v>758</v>
      </c>
      <c r="G49" s="329" t="s">
        <v>71</v>
      </c>
      <c r="H49" s="329" t="s">
        <v>792</v>
      </c>
      <c r="I49" s="349">
        <v>16.0</v>
      </c>
      <c r="J49" s="349">
        <v>16.0</v>
      </c>
      <c r="K49" s="333"/>
      <c r="L49" s="349"/>
      <c r="M49" s="334"/>
      <c r="N49" s="327" t="s">
        <v>260</v>
      </c>
      <c r="O49" s="339" t="s">
        <v>269</v>
      </c>
      <c r="P49" s="349">
        <v>1.0</v>
      </c>
      <c r="Q49" s="350"/>
      <c r="R49" s="350"/>
      <c r="S49" s="350"/>
      <c r="T49" s="351"/>
      <c r="U49" s="155"/>
      <c r="V49" s="155"/>
    </row>
    <row r="50" hidden="1">
      <c r="A50" s="319">
        <v>77.0</v>
      </c>
      <c r="B50" s="346" t="s">
        <v>118</v>
      </c>
      <c r="C50" s="347" t="s">
        <v>20</v>
      </c>
      <c r="D50" s="347" t="s">
        <v>154</v>
      </c>
      <c r="E50" s="348" t="s">
        <v>793</v>
      </c>
      <c r="F50" s="329" t="s">
        <v>758</v>
      </c>
      <c r="G50" s="329" t="s">
        <v>20</v>
      </c>
      <c r="H50" s="329" t="s">
        <v>794</v>
      </c>
      <c r="I50" s="349">
        <v>8.0</v>
      </c>
      <c r="J50" s="349">
        <v>8.0</v>
      </c>
      <c r="K50" s="333"/>
      <c r="L50" s="349"/>
      <c r="M50" s="334"/>
      <c r="N50" s="327" t="s">
        <v>260</v>
      </c>
      <c r="O50" s="339" t="s">
        <v>269</v>
      </c>
      <c r="P50" s="349">
        <v>2.0</v>
      </c>
      <c r="Q50" s="349">
        <v>1.0</v>
      </c>
      <c r="R50" s="350"/>
      <c r="S50" s="350"/>
      <c r="T50" s="351"/>
      <c r="U50" s="155"/>
      <c r="V50" s="155"/>
    </row>
    <row r="51" hidden="1">
      <c r="A51" s="319">
        <v>78.0</v>
      </c>
      <c r="B51" s="346" t="s">
        <v>118</v>
      </c>
      <c r="C51" s="347" t="s">
        <v>71</v>
      </c>
      <c r="D51" s="347" t="s">
        <v>155</v>
      </c>
      <c r="E51" s="348" t="s">
        <v>795</v>
      </c>
      <c r="F51" s="329" t="s">
        <v>758</v>
      </c>
      <c r="G51" s="329" t="s">
        <v>71</v>
      </c>
      <c r="H51" s="329" t="s">
        <v>796</v>
      </c>
      <c r="I51" s="350"/>
      <c r="J51" s="350"/>
      <c r="K51" s="333"/>
      <c r="L51" s="349"/>
      <c r="M51" s="334"/>
      <c r="N51" s="327" t="s">
        <v>260</v>
      </c>
      <c r="O51" s="339" t="s">
        <v>269</v>
      </c>
      <c r="P51" s="349">
        <v>1.0</v>
      </c>
      <c r="Q51" s="349">
        <v>1.0</v>
      </c>
      <c r="R51" s="349">
        <v>1.0</v>
      </c>
      <c r="S51" s="350"/>
      <c r="T51" s="351"/>
      <c r="U51" s="155"/>
      <c r="V51" s="155"/>
    </row>
    <row r="52" hidden="1">
      <c r="A52" s="319">
        <v>79.0</v>
      </c>
      <c r="B52" s="346" t="s">
        <v>118</v>
      </c>
      <c r="C52" s="347" t="s">
        <v>71</v>
      </c>
      <c r="D52" s="347" t="s">
        <v>156</v>
      </c>
      <c r="E52" s="348" t="s">
        <v>797</v>
      </c>
      <c r="F52" s="329" t="s">
        <v>758</v>
      </c>
      <c r="G52" s="329" t="s">
        <v>71</v>
      </c>
      <c r="H52" s="329" t="s">
        <v>798</v>
      </c>
      <c r="I52" s="360">
        <v>8.0</v>
      </c>
      <c r="J52" s="360">
        <v>8.0</v>
      </c>
      <c r="K52" s="333"/>
      <c r="L52" s="349"/>
      <c r="M52" s="334"/>
      <c r="N52" s="327" t="s">
        <v>260</v>
      </c>
      <c r="O52" s="339" t="s">
        <v>269</v>
      </c>
      <c r="P52" s="349">
        <v>1.0</v>
      </c>
      <c r="Q52" s="349">
        <v>1.0</v>
      </c>
      <c r="R52" s="349">
        <v>1.0</v>
      </c>
      <c r="S52" s="350"/>
      <c r="T52" s="351"/>
      <c r="U52" s="155"/>
      <c r="V52" s="155"/>
    </row>
    <row r="53" hidden="1">
      <c r="A53" s="319">
        <v>80.0</v>
      </c>
      <c r="B53" s="346" t="s">
        <v>118</v>
      </c>
      <c r="C53" s="347" t="s">
        <v>71</v>
      </c>
      <c r="D53" s="347" t="s">
        <v>320</v>
      </c>
      <c r="E53" s="348" t="s">
        <v>799</v>
      </c>
      <c r="F53" s="329" t="s">
        <v>758</v>
      </c>
      <c r="G53" s="329" t="s">
        <v>71</v>
      </c>
      <c r="H53" s="329" t="s">
        <v>800</v>
      </c>
      <c r="I53" s="358"/>
      <c r="J53" s="358"/>
      <c r="K53" s="331" t="s">
        <v>453</v>
      </c>
      <c r="L53" s="349"/>
      <c r="M53" s="318">
        <v>12.0</v>
      </c>
      <c r="N53" s="327" t="s">
        <v>260</v>
      </c>
      <c r="O53" s="339" t="s">
        <v>269</v>
      </c>
      <c r="P53" s="349">
        <v>1.0</v>
      </c>
      <c r="Q53" s="349">
        <v>1.0</v>
      </c>
      <c r="R53" s="349">
        <v>1.0</v>
      </c>
      <c r="S53" s="350"/>
      <c r="T53" s="351"/>
      <c r="U53" s="155"/>
      <c r="V53" s="155"/>
    </row>
    <row r="54" hidden="1">
      <c r="A54" s="319">
        <v>83.0</v>
      </c>
      <c r="B54" s="347" t="s">
        <v>160</v>
      </c>
      <c r="C54" s="347" t="s">
        <v>88</v>
      </c>
      <c r="D54" s="347" t="s">
        <v>161</v>
      </c>
      <c r="E54" s="348" t="s">
        <v>801</v>
      </c>
      <c r="F54" s="329" t="s">
        <v>802</v>
      </c>
      <c r="G54" s="329" t="s">
        <v>71</v>
      </c>
      <c r="H54" s="329" t="s">
        <v>803</v>
      </c>
      <c r="I54" s="349">
        <v>4.0</v>
      </c>
      <c r="J54" s="349">
        <v>4.0</v>
      </c>
      <c r="K54" s="333"/>
      <c r="L54" s="349"/>
      <c r="M54" s="334"/>
      <c r="N54" s="327" t="s">
        <v>260</v>
      </c>
      <c r="O54" s="339" t="s">
        <v>269</v>
      </c>
      <c r="P54" s="349">
        <v>1.0</v>
      </c>
      <c r="Q54" s="350"/>
      <c r="R54" s="350"/>
      <c r="S54" s="350"/>
      <c r="T54" s="351"/>
      <c r="U54" s="155"/>
      <c r="V54" s="155"/>
    </row>
    <row r="55" hidden="1">
      <c r="A55" s="319">
        <v>84.0</v>
      </c>
      <c r="B55" s="361" t="s">
        <v>160</v>
      </c>
      <c r="C55" s="362" t="s">
        <v>20</v>
      </c>
      <c r="D55" s="362" t="s">
        <v>162</v>
      </c>
      <c r="E55" s="348" t="s">
        <v>804</v>
      </c>
      <c r="F55" s="329" t="s">
        <v>802</v>
      </c>
      <c r="G55" s="329" t="s">
        <v>20</v>
      </c>
      <c r="H55" s="329" t="s">
        <v>805</v>
      </c>
      <c r="I55" s="349">
        <v>0.0</v>
      </c>
      <c r="J55" s="349">
        <v>12.0</v>
      </c>
      <c r="K55" s="333"/>
      <c r="L55" s="349"/>
      <c r="M55" s="334"/>
      <c r="N55" s="327" t="s">
        <v>260</v>
      </c>
      <c r="O55" s="339" t="s">
        <v>277</v>
      </c>
      <c r="P55" s="349">
        <v>1.0</v>
      </c>
      <c r="Q55" s="350"/>
      <c r="R55" s="350"/>
      <c r="S55" s="350"/>
      <c r="T55" s="351"/>
      <c r="U55" s="155"/>
      <c r="V55" s="155"/>
    </row>
    <row r="56" hidden="1">
      <c r="A56" s="319">
        <v>85.0</v>
      </c>
      <c r="B56" s="361" t="s">
        <v>160</v>
      </c>
      <c r="C56" s="362" t="s">
        <v>140</v>
      </c>
      <c r="D56" s="362" t="s">
        <v>163</v>
      </c>
      <c r="E56" s="348" t="s">
        <v>806</v>
      </c>
      <c r="F56" s="329" t="s">
        <v>802</v>
      </c>
      <c r="G56" s="329" t="s">
        <v>71</v>
      </c>
      <c r="H56" s="329" t="s">
        <v>807</v>
      </c>
      <c r="I56" s="350"/>
      <c r="J56" s="350"/>
      <c r="K56" s="333"/>
      <c r="L56" s="349"/>
      <c r="M56" s="334"/>
      <c r="N56" s="327" t="s">
        <v>260</v>
      </c>
      <c r="O56" s="339" t="s">
        <v>277</v>
      </c>
      <c r="P56" s="349">
        <v>0.0</v>
      </c>
      <c r="Q56" s="350"/>
      <c r="R56" s="350"/>
      <c r="S56" s="350"/>
      <c r="T56" s="351"/>
      <c r="U56" s="155"/>
      <c r="V56" s="155"/>
    </row>
    <row r="57" hidden="1">
      <c r="A57" s="319">
        <v>87.0</v>
      </c>
      <c r="B57" s="361" t="s">
        <v>160</v>
      </c>
      <c r="C57" s="362" t="s">
        <v>140</v>
      </c>
      <c r="D57" s="362" t="s">
        <v>164</v>
      </c>
      <c r="E57" s="348" t="s">
        <v>808</v>
      </c>
      <c r="F57" s="329" t="s">
        <v>802</v>
      </c>
      <c r="G57" s="329" t="s">
        <v>71</v>
      </c>
      <c r="H57" s="329" t="s">
        <v>809</v>
      </c>
      <c r="I57" s="350"/>
      <c r="J57" s="350"/>
      <c r="K57" s="333"/>
      <c r="L57" s="349"/>
      <c r="M57" s="334"/>
      <c r="N57" s="327" t="s">
        <v>260</v>
      </c>
      <c r="O57" s="339" t="s">
        <v>277</v>
      </c>
      <c r="P57" s="349">
        <v>0.0</v>
      </c>
      <c r="Q57" s="350"/>
      <c r="R57" s="350"/>
      <c r="S57" s="350"/>
      <c r="T57" s="351"/>
      <c r="U57" s="155"/>
      <c r="V57" s="155"/>
    </row>
    <row r="58" hidden="1">
      <c r="A58" s="319"/>
      <c r="B58" s="361"/>
      <c r="C58" s="362"/>
      <c r="D58" s="362" t="s">
        <v>326</v>
      </c>
      <c r="E58" s="348" t="s">
        <v>810</v>
      </c>
      <c r="F58" s="329" t="s">
        <v>811</v>
      </c>
      <c r="G58" s="329" t="s">
        <v>71</v>
      </c>
      <c r="H58" s="329" t="s">
        <v>812</v>
      </c>
      <c r="I58" s="350"/>
      <c r="J58" s="350"/>
      <c r="K58" s="333"/>
      <c r="L58" s="349"/>
      <c r="M58" s="334"/>
      <c r="N58" s="327" t="s">
        <v>260</v>
      </c>
      <c r="O58" s="339"/>
      <c r="P58" s="349">
        <v>0.0</v>
      </c>
      <c r="Q58" s="350"/>
      <c r="R58" s="350"/>
      <c r="S58" s="350"/>
      <c r="T58" s="351"/>
      <c r="U58" s="155"/>
      <c r="V58" s="155"/>
    </row>
    <row r="59" hidden="1">
      <c r="A59" s="319"/>
      <c r="B59" s="361"/>
      <c r="C59" s="362"/>
      <c r="D59" s="362" t="s">
        <v>327</v>
      </c>
      <c r="E59" s="348" t="s">
        <v>813</v>
      </c>
      <c r="F59" s="329" t="s">
        <v>811</v>
      </c>
      <c r="G59" s="329" t="s">
        <v>71</v>
      </c>
      <c r="H59" s="329" t="s">
        <v>814</v>
      </c>
      <c r="I59" s="350"/>
      <c r="J59" s="350"/>
      <c r="K59" s="333"/>
      <c r="L59" s="349"/>
      <c r="M59" s="334"/>
      <c r="N59" s="327" t="s">
        <v>260</v>
      </c>
      <c r="O59" s="339"/>
      <c r="P59" s="349">
        <v>0.0</v>
      </c>
      <c r="Q59" s="350"/>
      <c r="R59" s="350"/>
      <c r="S59" s="350"/>
      <c r="T59" s="351"/>
      <c r="U59" s="155"/>
      <c r="V59" s="155"/>
    </row>
    <row r="60" hidden="1">
      <c r="A60" s="319">
        <v>106.0</v>
      </c>
      <c r="B60" s="361" t="s">
        <v>181</v>
      </c>
      <c r="C60" s="362" t="s">
        <v>71</v>
      </c>
      <c r="D60" s="362" t="s">
        <v>328</v>
      </c>
      <c r="E60" s="348" t="s">
        <v>815</v>
      </c>
      <c r="F60" s="329" t="s">
        <v>811</v>
      </c>
      <c r="G60" s="329" t="s">
        <v>71</v>
      </c>
      <c r="H60" s="329" t="s">
        <v>816</v>
      </c>
      <c r="I60" s="349"/>
      <c r="J60" s="349"/>
      <c r="K60" s="333"/>
      <c r="L60" s="349"/>
      <c r="M60" s="334"/>
      <c r="N60" s="327" t="s">
        <v>260</v>
      </c>
      <c r="O60" s="339" t="s">
        <v>277</v>
      </c>
      <c r="P60" s="349">
        <v>0.0</v>
      </c>
      <c r="Q60" s="350"/>
      <c r="R60" s="350"/>
      <c r="S60" s="350"/>
      <c r="T60" s="351"/>
      <c r="U60" s="155"/>
      <c r="V60" s="155"/>
    </row>
    <row r="61" hidden="1">
      <c r="A61" s="319">
        <v>109.0</v>
      </c>
      <c r="B61" s="361" t="s">
        <v>187</v>
      </c>
      <c r="C61" s="362" t="s">
        <v>88</v>
      </c>
      <c r="D61" s="362" t="s">
        <v>188</v>
      </c>
      <c r="E61" s="348" t="s">
        <v>817</v>
      </c>
      <c r="F61" s="329" t="s">
        <v>818</v>
      </c>
      <c r="G61" s="329" t="s">
        <v>71</v>
      </c>
      <c r="H61" s="329" t="s">
        <v>819</v>
      </c>
      <c r="I61" s="349"/>
      <c r="J61" s="349"/>
      <c r="K61" s="340" t="s">
        <v>820</v>
      </c>
      <c r="L61" s="354"/>
      <c r="M61" s="334"/>
      <c r="N61" s="327" t="s">
        <v>260</v>
      </c>
      <c r="O61" s="339" t="s">
        <v>269</v>
      </c>
      <c r="P61" s="354">
        <v>2.0</v>
      </c>
      <c r="Q61" s="354">
        <v>1.0</v>
      </c>
      <c r="R61" s="355"/>
      <c r="S61" s="355"/>
      <c r="T61" s="356"/>
      <c r="U61" s="155"/>
      <c r="V61" s="155"/>
    </row>
    <row r="62" hidden="1">
      <c r="A62" s="319">
        <v>110.0</v>
      </c>
      <c r="B62" s="361" t="s">
        <v>187</v>
      </c>
      <c r="C62" s="362" t="s">
        <v>20</v>
      </c>
      <c r="D62" s="362" t="s">
        <v>821</v>
      </c>
      <c r="E62" s="348" t="s">
        <v>822</v>
      </c>
      <c r="F62" s="329" t="s">
        <v>818</v>
      </c>
      <c r="G62" s="329" t="s">
        <v>20</v>
      </c>
      <c r="H62" s="329" t="s">
        <v>823</v>
      </c>
      <c r="I62" s="349">
        <v>4.0</v>
      </c>
      <c r="J62" s="349">
        <v>4.0</v>
      </c>
      <c r="K62" s="333"/>
      <c r="L62" s="349"/>
      <c r="M62" s="334"/>
      <c r="N62" s="327" t="s">
        <v>260</v>
      </c>
      <c r="O62" s="339" t="s">
        <v>277</v>
      </c>
      <c r="P62" s="349">
        <v>2.0</v>
      </c>
      <c r="Q62" s="349">
        <v>1.0</v>
      </c>
      <c r="R62" s="350"/>
      <c r="S62" s="350"/>
      <c r="T62" s="351"/>
      <c r="U62" s="155"/>
      <c r="V62" s="155"/>
    </row>
    <row r="63" hidden="1">
      <c r="A63" s="319">
        <v>111.0</v>
      </c>
      <c r="B63" s="361" t="s">
        <v>187</v>
      </c>
      <c r="C63" s="362" t="s">
        <v>71</v>
      </c>
      <c r="D63" s="362" t="s">
        <v>190</v>
      </c>
      <c r="E63" s="348" t="s">
        <v>824</v>
      </c>
      <c r="F63" s="329" t="s">
        <v>818</v>
      </c>
      <c r="G63" s="329" t="s">
        <v>71</v>
      </c>
      <c r="H63" s="329" t="s">
        <v>825</v>
      </c>
      <c r="I63" s="355"/>
      <c r="J63" s="355"/>
      <c r="K63" s="333"/>
      <c r="L63" s="349" t="s">
        <v>191</v>
      </c>
      <c r="M63" s="334"/>
      <c r="N63" s="327" t="s">
        <v>260</v>
      </c>
      <c r="O63" s="339" t="s">
        <v>269</v>
      </c>
      <c r="P63" s="349">
        <v>0.0</v>
      </c>
      <c r="Q63" s="350"/>
      <c r="R63" s="350"/>
      <c r="S63" s="350"/>
      <c r="T63" s="351"/>
      <c r="U63" s="155"/>
      <c r="V63" s="155"/>
    </row>
    <row r="64" hidden="1">
      <c r="A64" s="319">
        <v>113.0</v>
      </c>
      <c r="B64" s="346" t="s">
        <v>193</v>
      </c>
      <c r="C64" s="347" t="s">
        <v>88</v>
      </c>
      <c r="D64" s="347" t="s">
        <v>194</v>
      </c>
      <c r="E64" s="348" t="s">
        <v>826</v>
      </c>
      <c r="F64" s="363" t="s">
        <v>827</v>
      </c>
      <c r="G64" s="363" t="s">
        <v>71</v>
      </c>
      <c r="H64" s="363" t="s">
        <v>828</v>
      </c>
      <c r="I64" s="349">
        <v>8.0</v>
      </c>
      <c r="J64" s="349">
        <v>16.0</v>
      </c>
      <c r="K64" s="333"/>
      <c r="L64" s="349"/>
      <c r="M64" s="334"/>
      <c r="N64" s="327" t="s">
        <v>260</v>
      </c>
      <c r="O64" s="339" t="s">
        <v>269</v>
      </c>
      <c r="P64" s="349">
        <v>1.0</v>
      </c>
      <c r="Q64" s="349">
        <v>1.0</v>
      </c>
      <c r="R64" s="349">
        <v>1.0</v>
      </c>
      <c r="S64" s="350"/>
      <c r="T64" s="351"/>
      <c r="U64" s="155"/>
      <c r="V64" s="155"/>
    </row>
    <row r="65" hidden="1">
      <c r="A65" s="319">
        <v>114.0</v>
      </c>
      <c r="B65" s="346" t="s">
        <v>195</v>
      </c>
      <c r="C65" s="347" t="s">
        <v>88</v>
      </c>
      <c r="D65" s="362" t="s">
        <v>196</v>
      </c>
      <c r="E65" s="348" t="s">
        <v>829</v>
      </c>
      <c r="F65" s="363" t="s">
        <v>830</v>
      </c>
      <c r="G65" s="363" t="s">
        <v>71</v>
      </c>
      <c r="H65" s="363" t="s">
        <v>831</v>
      </c>
      <c r="I65" s="349">
        <v>16.0</v>
      </c>
      <c r="J65" s="349">
        <v>24.0</v>
      </c>
      <c r="K65" s="340" t="s">
        <v>331</v>
      </c>
      <c r="L65" s="354"/>
      <c r="M65" s="334"/>
      <c r="N65" s="327" t="s">
        <v>260</v>
      </c>
      <c r="O65" s="339" t="s">
        <v>269</v>
      </c>
      <c r="P65" s="354">
        <v>1.0</v>
      </c>
      <c r="Q65" s="354">
        <v>1.0</v>
      </c>
      <c r="R65" s="354">
        <v>1.0</v>
      </c>
      <c r="S65" s="355"/>
      <c r="T65" s="356"/>
      <c r="U65" s="155"/>
      <c r="V65" s="155"/>
    </row>
    <row r="66" hidden="1">
      <c r="A66" s="319">
        <v>115.0</v>
      </c>
      <c r="B66" s="364" t="s">
        <v>195</v>
      </c>
      <c r="C66" s="362" t="s">
        <v>20</v>
      </c>
      <c r="D66" s="362" t="s">
        <v>197</v>
      </c>
      <c r="E66" s="348" t="s">
        <v>832</v>
      </c>
      <c r="F66" s="363" t="s">
        <v>830</v>
      </c>
      <c r="G66" s="363" t="s">
        <v>20</v>
      </c>
      <c r="H66" s="363" t="s">
        <v>833</v>
      </c>
      <c r="I66" s="349"/>
      <c r="J66" s="349"/>
      <c r="K66" s="344" t="s">
        <v>332</v>
      </c>
      <c r="L66" s="365"/>
      <c r="M66" s="334"/>
      <c r="N66" s="327" t="s">
        <v>260</v>
      </c>
      <c r="O66" s="339" t="s">
        <v>277</v>
      </c>
      <c r="P66" s="365">
        <v>0.0</v>
      </c>
      <c r="Q66" s="366"/>
      <c r="R66" s="366"/>
      <c r="S66" s="366"/>
      <c r="T66" s="367"/>
      <c r="U66" s="155"/>
      <c r="V66" s="155"/>
    </row>
    <row r="67" hidden="1">
      <c r="A67" s="319">
        <v>116.0</v>
      </c>
      <c r="B67" s="364" t="s">
        <v>195</v>
      </c>
      <c r="C67" s="362" t="s">
        <v>71</v>
      </c>
      <c r="D67" s="362" t="s">
        <v>198</v>
      </c>
      <c r="E67" s="348" t="s">
        <v>834</v>
      </c>
      <c r="F67" s="363" t="s">
        <v>195</v>
      </c>
      <c r="G67" s="363" t="s">
        <v>71</v>
      </c>
      <c r="H67" s="363" t="s">
        <v>835</v>
      </c>
      <c r="I67" s="355"/>
      <c r="J67" s="355"/>
      <c r="K67" s="333"/>
      <c r="L67" s="365"/>
      <c r="M67" s="334"/>
      <c r="N67" s="327" t="s">
        <v>260</v>
      </c>
      <c r="O67" s="339" t="s">
        <v>269</v>
      </c>
      <c r="P67" s="365">
        <v>1.0</v>
      </c>
      <c r="Q67" s="365">
        <v>1.0</v>
      </c>
      <c r="R67" s="365">
        <v>1.0</v>
      </c>
      <c r="S67" s="366"/>
      <c r="T67" s="367"/>
      <c r="U67" s="155"/>
      <c r="V67" s="117" t="s">
        <v>647</v>
      </c>
    </row>
    <row r="68" hidden="1">
      <c r="A68" s="319">
        <v>117.0</v>
      </c>
      <c r="B68" s="364" t="s">
        <v>195</v>
      </c>
      <c r="C68" s="362" t="s">
        <v>20</v>
      </c>
      <c r="D68" s="362" t="s">
        <v>199</v>
      </c>
      <c r="E68" s="348" t="s">
        <v>836</v>
      </c>
      <c r="F68" s="363" t="s">
        <v>195</v>
      </c>
      <c r="G68" s="363" t="s">
        <v>20</v>
      </c>
      <c r="H68" s="368" t="s">
        <v>837</v>
      </c>
      <c r="I68" s="366"/>
      <c r="J68" s="366"/>
      <c r="K68" s="333"/>
      <c r="L68" s="365"/>
      <c r="M68" s="334"/>
      <c r="N68" s="327" t="s">
        <v>260</v>
      </c>
      <c r="O68" s="339" t="s">
        <v>269</v>
      </c>
      <c r="P68" s="365">
        <v>1.0</v>
      </c>
      <c r="Q68" s="366"/>
      <c r="R68" s="366"/>
      <c r="S68" s="366"/>
      <c r="T68" s="367"/>
      <c r="U68" s="155"/>
      <c r="V68" s="155"/>
    </row>
    <row r="69" hidden="1">
      <c r="A69" s="319">
        <v>118.0</v>
      </c>
      <c r="B69" s="364" t="s">
        <v>195</v>
      </c>
      <c r="C69" s="362" t="s">
        <v>71</v>
      </c>
      <c r="D69" s="362" t="s">
        <v>200</v>
      </c>
      <c r="E69" s="348" t="s">
        <v>838</v>
      </c>
      <c r="F69" s="363" t="s">
        <v>195</v>
      </c>
      <c r="G69" s="363" t="s">
        <v>71</v>
      </c>
      <c r="H69" s="363" t="s">
        <v>839</v>
      </c>
      <c r="I69" s="365">
        <v>2.0</v>
      </c>
      <c r="J69" s="365">
        <v>2.0</v>
      </c>
      <c r="K69" s="340" t="s">
        <v>840</v>
      </c>
      <c r="L69" s="365"/>
      <c r="M69" s="334"/>
      <c r="N69" s="327" t="s">
        <v>260</v>
      </c>
      <c r="O69" s="339" t="s">
        <v>269</v>
      </c>
      <c r="P69" s="365">
        <v>1.0</v>
      </c>
      <c r="Q69" s="365">
        <v>1.0</v>
      </c>
      <c r="R69" s="365">
        <v>1.0</v>
      </c>
      <c r="S69" s="366"/>
      <c r="T69" s="367"/>
      <c r="U69" s="155"/>
      <c r="V69" s="155"/>
    </row>
    <row r="70" hidden="1">
      <c r="A70" s="319">
        <v>120.0</v>
      </c>
      <c r="B70" s="364" t="s">
        <v>195</v>
      </c>
      <c r="C70" s="362" t="s">
        <v>71</v>
      </c>
      <c r="D70" s="362" t="s">
        <v>202</v>
      </c>
      <c r="E70" s="348" t="s">
        <v>841</v>
      </c>
      <c r="F70" s="363" t="s">
        <v>195</v>
      </c>
      <c r="G70" s="363" t="s">
        <v>71</v>
      </c>
      <c r="H70" s="363" t="s">
        <v>842</v>
      </c>
      <c r="I70" s="365">
        <v>2.0</v>
      </c>
      <c r="J70" s="365">
        <v>2.0</v>
      </c>
      <c r="K70" s="345" t="s">
        <v>335</v>
      </c>
      <c r="L70" s="365"/>
      <c r="M70" s="334"/>
      <c r="N70" s="327" t="s">
        <v>260</v>
      </c>
      <c r="O70" s="339" t="s">
        <v>269</v>
      </c>
      <c r="P70" s="365">
        <v>0.0</v>
      </c>
      <c r="Q70" s="366"/>
      <c r="R70" s="366"/>
      <c r="S70" s="366"/>
      <c r="T70" s="367"/>
      <c r="U70" s="155"/>
      <c r="V70" s="155"/>
    </row>
    <row r="71" hidden="1">
      <c r="A71" s="319">
        <v>122.0</v>
      </c>
      <c r="B71" s="364" t="s">
        <v>195</v>
      </c>
      <c r="C71" s="362" t="s">
        <v>71</v>
      </c>
      <c r="D71" s="362" t="s">
        <v>216</v>
      </c>
      <c r="E71" s="348" t="s">
        <v>843</v>
      </c>
      <c r="F71" s="363" t="s">
        <v>195</v>
      </c>
      <c r="G71" s="363" t="s">
        <v>71</v>
      </c>
      <c r="H71" s="363" t="s">
        <v>844</v>
      </c>
      <c r="I71" s="365">
        <v>2.0</v>
      </c>
      <c r="J71" s="365">
        <v>2.0</v>
      </c>
      <c r="K71" s="333"/>
      <c r="L71" s="365"/>
      <c r="M71" s="334"/>
      <c r="N71" s="327" t="s">
        <v>260</v>
      </c>
      <c r="O71" s="339" t="s">
        <v>269</v>
      </c>
      <c r="P71" s="365">
        <v>1.0</v>
      </c>
      <c r="Q71" s="366"/>
      <c r="R71" s="366"/>
      <c r="S71" s="366"/>
      <c r="T71" s="367"/>
      <c r="U71" s="155"/>
      <c r="V71" s="155"/>
    </row>
    <row r="72" hidden="1">
      <c r="A72" s="319">
        <v>124.0</v>
      </c>
      <c r="B72" s="364" t="s">
        <v>195</v>
      </c>
      <c r="C72" s="362" t="s">
        <v>71</v>
      </c>
      <c r="D72" s="362" t="s">
        <v>207</v>
      </c>
      <c r="E72" s="348" t="s">
        <v>845</v>
      </c>
      <c r="F72" s="363" t="s">
        <v>195</v>
      </c>
      <c r="G72" s="363" t="s">
        <v>71</v>
      </c>
      <c r="H72" s="363" t="s">
        <v>846</v>
      </c>
      <c r="I72" s="366"/>
      <c r="J72" s="366"/>
      <c r="K72" s="345" t="s">
        <v>335</v>
      </c>
      <c r="L72" s="365"/>
      <c r="M72" s="334"/>
      <c r="N72" s="327" t="s">
        <v>260</v>
      </c>
      <c r="O72" s="339" t="s">
        <v>269</v>
      </c>
      <c r="P72" s="365">
        <v>0.0</v>
      </c>
      <c r="Q72" s="366"/>
      <c r="R72" s="366"/>
      <c r="S72" s="366"/>
      <c r="T72" s="367"/>
      <c r="U72" s="155"/>
      <c r="V72" s="155"/>
    </row>
    <row r="73" hidden="1">
      <c r="A73" s="319">
        <v>125.0</v>
      </c>
      <c r="B73" s="364" t="s">
        <v>195</v>
      </c>
      <c r="C73" s="362" t="s">
        <v>20</v>
      </c>
      <c r="D73" s="362" t="s">
        <v>208</v>
      </c>
      <c r="E73" s="348" t="s">
        <v>847</v>
      </c>
      <c r="F73" s="363" t="s">
        <v>195</v>
      </c>
      <c r="G73" s="363" t="s">
        <v>20</v>
      </c>
      <c r="H73" s="363" t="s">
        <v>848</v>
      </c>
      <c r="I73" s="366"/>
      <c r="J73" s="366"/>
      <c r="K73" s="345" t="s">
        <v>335</v>
      </c>
      <c r="L73" s="365"/>
      <c r="M73" s="334"/>
      <c r="N73" s="327" t="s">
        <v>260</v>
      </c>
      <c r="O73" s="339" t="s">
        <v>263</v>
      </c>
      <c r="P73" s="365">
        <v>0.0</v>
      </c>
      <c r="Q73" s="366"/>
      <c r="R73" s="366"/>
      <c r="S73" s="366"/>
      <c r="T73" s="367"/>
      <c r="U73" s="155"/>
      <c r="V73" s="155"/>
    </row>
    <row r="74" hidden="1">
      <c r="A74" s="319"/>
      <c r="B74" s="364"/>
      <c r="C74" s="362" t="s">
        <v>71</v>
      </c>
      <c r="D74" s="362" t="s">
        <v>337</v>
      </c>
      <c r="E74" s="348" t="s">
        <v>849</v>
      </c>
      <c r="F74" s="363" t="s">
        <v>195</v>
      </c>
      <c r="G74" s="363" t="s">
        <v>71</v>
      </c>
      <c r="H74" s="363" t="s">
        <v>850</v>
      </c>
      <c r="I74" s="366"/>
      <c r="J74" s="366"/>
      <c r="K74" s="333"/>
      <c r="L74" s="365"/>
      <c r="M74" s="334"/>
      <c r="N74" s="327"/>
      <c r="O74" s="339"/>
      <c r="P74" s="365">
        <v>1.0</v>
      </c>
      <c r="Q74" s="366"/>
      <c r="R74" s="366"/>
      <c r="S74" s="366"/>
      <c r="T74" s="367"/>
      <c r="U74" s="155"/>
      <c r="V74" s="155"/>
    </row>
    <row r="75" hidden="1">
      <c r="A75" s="319">
        <v>127.0</v>
      </c>
      <c r="B75" s="364" t="s">
        <v>195</v>
      </c>
      <c r="C75" s="362" t="s">
        <v>20</v>
      </c>
      <c r="D75" s="362" t="s">
        <v>212</v>
      </c>
      <c r="E75" s="348" t="s">
        <v>851</v>
      </c>
      <c r="F75" s="363" t="s">
        <v>195</v>
      </c>
      <c r="G75" s="363" t="s">
        <v>20</v>
      </c>
      <c r="H75" s="363" t="s">
        <v>852</v>
      </c>
      <c r="I75" s="366"/>
      <c r="J75" s="366"/>
      <c r="K75" s="333"/>
      <c r="L75" s="365"/>
      <c r="M75" s="334"/>
      <c r="N75" s="327" t="s">
        <v>260</v>
      </c>
      <c r="O75" s="339" t="s">
        <v>263</v>
      </c>
      <c r="P75" s="365">
        <v>1.0</v>
      </c>
      <c r="Q75" s="365">
        <v>1.0</v>
      </c>
      <c r="R75" s="365"/>
      <c r="S75" s="366"/>
      <c r="T75" s="367"/>
      <c r="U75" s="155"/>
      <c r="V75" s="155"/>
    </row>
    <row r="76" hidden="1">
      <c r="A76" s="319">
        <v>128.0</v>
      </c>
      <c r="B76" s="364" t="s">
        <v>195</v>
      </c>
      <c r="C76" s="362" t="s">
        <v>20</v>
      </c>
      <c r="D76" s="362" t="s">
        <v>338</v>
      </c>
      <c r="E76" s="348" t="s">
        <v>853</v>
      </c>
      <c r="F76" s="363" t="s">
        <v>195</v>
      </c>
      <c r="G76" s="363" t="s">
        <v>20</v>
      </c>
      <c r="H76" s="363" t="s">
        <v>854</v>
      </c>
      <c r="I76" s="366"/>
      <c r="J76" s="366"/>
      <c r="K76" s="333"/>
      <c r="L76" s="365"/>
      <c r="M76" s="334"/>
      <c r="N76" s="327" t="s">
        <v>260</v>
      </c>
      <c r="O76" s="339" t="s">
        <v>263</v>
      </c>
      <c r="P76" s="365">
        <v>1.0</v>
      </c>
      <c r="Q76" s="365">
        <v>1.0</v>
      </c>
      <c r="R76" s="365"/>
      <c r="S76" s="366"/>
      <c r="T76" s="367"/>
      <c r="U76" s="155"/>
      <c r="V76" s="155"/>
    </row>
    <row r="77" hidden="1">
      <c r="A77" s="319">
        <v>132.0</v>
      </c>
      <c r="B77" s="364" t="s">
        <v>195</v>
      </c>
      <c r="C77" s="362" t="s">
        <v>20</v>
      </c>
      <c r="D77" s="362" t="s">
        <v>217</v>
      </c>
      <c r="E77" s="348" t="s">
        <v>855</v>
      </c>
      <c r="F77" s="363" t="s">
        <v>195</v>
      </c>
      <c r="G77" s="363" t="s">
        <v>20</v>
      </c>
      <c r="H77" s="363" t="s">
        <v>856</v>
      </c>
      <c r="I77" s="366"/>
      <c r="J77" s="366"/>
      <c r="K77" s="333"/>
      <c r="L77" s="365"/>
      <c r="M77" s="334"/>
      <c r="N77" s="327" t="s">
        <v>260</v>
      </c>
      <c r="O77" s="339" t="s">
        <v>269</v>
      </c>
      <c r="P77" s="365">
        <v>1.0</v>
      </c>
      <c r="Q77" s="366"/>
      <c r="R77" s="366"/>
      <c r="S77" s="366"/>
      <c r="T77" s="367"/>
      <c r="U77" s="155"/>
      <c r="V77" s="155"/>
    </row>
    <row r="78" hidden="1">
      <c r="A78" s="319">
        <v>138.0</v>
      </c>
      <c r="B78" s="369" t="s">
        <v>224</v>
      </c>
      <c r="C78" s="370" t="s">
        <v>88</v>
      </c>
      <c r="D78" s="370" t="s">
        <v>225</v>
      </c>
      <c r="E78" s="371" t="s">
        <v>857</v>
      </c>
      <c r="F78" s="329" t="s">
        <v>224</v>
      </c>
      <c r="G78" s="329" t="s">
        <v>71</v>
      </c>
      <c r="H78" s="329" t="s">
        <v>858</v>
      </c>
      <c r="I78" s="366"/>
      <c r="J78" s="366"/>
      <c r="K78" s="333"/>
      <c r="L78" s="372"/>
      <c r="M78" s="334"/>
      <c r="N78" s="327" t="s">
        <v>260</v>
      </c>
      <c r="O78" s="339" t="s">
        <v>269</v>
      </c>
      <c r="P78" s="372">
        <v>1.0</v>
      </c>
      <c r="Q78" s="373"/>
      <c r="R78" s="373"/>
      <c r="S78" s="373"/>
      <c r="T78" s="374"/>
      <c r="U78" s="155"/>
      <c r="V78" s="155"/>
    </row>
    <row r="79" hidden="1">
      <c r="A79" s="319">
        <v>139.0</v>
      </c>
      <c r="B79" s="369" t="s">
        <v>226</v>
      </c>
      <c r="C79" s="370" t="s">
        <v>88</v>
      </c>
      <c r="D79" s="321" t="s">
        <v>227</v>
      </c>
      <c r="E79" s="375"/>
      <c r="F79" s="329"/>
      <c r="G79" s="329"/>
      <c r="H79" s="329"/>
      <c r="I79" s="366"/>
      <c r="J79" s="366"/>
      <c r="K79" s="333"/>
      <c r="L79" s="376"/>
      <c r="M79" s="334"/>
      <c r="N79" s="327" t="s">
        <v>260</v>
      </c>
      <c r="O79" s="339" t="s">
        <v>269</v>
      </c>
      <c r="P79" s="377"/>
      <c r="Q79" s="377"/>
      <c r="R79" s="377"/>
      <c r="S79" s="377"/>
      <c r="T79" s="378"/>
      <c r="U79" s="155"/>
      <c r="V79" s="155"/>
    </row>
    <row r="80" hidden="1">
      <c r="A80" s="319">
        <v>140.0</v>
      </c>
      <c r="B80" s="369" t="s">
        <v>226</v>
      </c>
      <c r="C80" s="321" t="s">
        <v>71</v>
      </c>
      <c r="D80" s="321" t="s">
        <v>228</v>
      </c>
      <c r="E80" s="371" t="s">
        <v>859</v>
      </c>
      <c r="F80" s="329" t="s">
        <v>226</v>
      </c>
      <c r="G80" s="329" t="s">
        <v>71</v>
      </c>
      <c r="H80" s="329" t="s">
        <v>860</v>
      </c>
      <c r="I80" s="373"/>
      <c r="J80" s="373"/>
      <c r="K80" s="333"/>
      <c r="L80" s="327"/>
      <c r="M80" s="334"/>
      <c r="N80" s="327" t="s">
        <v>260</v>
      </c>
      <c r="O80" s="339" t="s">
        <v>261</v>
      </c>
      <c r="P80" s="327">
        <v>1.0</v>
      </c>
      <c r="Q80" s="327">
        <v>1.0</v>
      </c>
      <c r="R80" s="327"/>
      <c r="S80" s="379"/>
      <c r="T80" s="328"/>
      <c r="U80" s="155"/>
      <c r="V80" s="155"/>
    </row>
    <row r="81" hidden="1">
      <c r="A81" s="319">
        <v>141.0</v>
      </c>
      <c r="B81" s="369" t="s">
        <v>229</v>
      </c>
      <c r="C81" s="370" t="s">
        <v>88</v>
      </c>
      <c r="D81" s="321" t="s">
        <v>227</v>
      </c>
      <c r="E81" s="371" t="s">
        <v>861</v>
      </c>
      <c r="F81" s="329" t="s">
        <v>229</v>
      </c>
      <c r="G81" s="329" t="s">
        <v>862</v>
      </c>
      <c r="H81" s="329" t="s">
        <v>863</v>
      </c>
      <c r="I81" s="377"/>
      <c r="J81" s="377"/>
      <c r="K81" s="333"/>
      <c r="L81" s="376"/>
      <c r="M81" s="334"/>
      <c r="N81" s="327" t="s">
        <v>260</v>
      </c>
      <c r="O81" s="339" t="s">
        <v>269</v>
      </c>
      <c r="P81" s="376">
        <v>0.0</v>
      </c>
      <c r="Q81" s="377"/>
      <c r="R81" s="377"/>
      <c r="S81" s="377"/>
      <c r="T81" s="378"/>
      <c r="U81" s="155"/>
      <c r="V81" s="155"/>
    </row>
    <row r="82" hidden="1">
      <c r="A82" s="319">
        <v>143.0</v>
      </c>
      <c r="B82" s="320" t="s">
        <v>232</v>
      </c>
      <c r="C82" s="321" t="s">
        <v>88</v>
      </c>
      <c r="D82" s="321" t="s">
        <v>233</v>
      </c>
      <c r="E82" s="371" t="s">
        <v>864</v>
      </c>
      <c r="F82" s="329" t="s">
        <v>232</v>
      </c>
      <c r="G82" s="329" t="s">
        <v>865</v>
      </c>
      <c r="H82" s="329" t="s">
        <v>866</v>
      </c>
      <c r="I82" s="327">
        <v>8.0</v>
      </c>
      <c r="J82" s="327">
        <v>8.0</v>
      </c>
      <c r="K82" s="333"/>
      <c r="L82" s="376"/>
      <c r="M82" s="334"/>
      <c r="N82" s="327" t="s">
        <v>260</v>
      </c>
      <c r="O82" s="339" t="s">
        <v>269</v>
      </c>
      <c r="P82" s="376">
        <v>1.0</v>
      </c>
      <c r="Q82" s="377"/>
      <c r="R82" s="377"/>
      <c r="S82" s="377"/>
      <c r="T82" s="378"/>
      <c r="U82" s="155"/>
      <c r="V82" s="155"/>
    </row>
    <row r="83" hidden="1">
      <c r="A83" s="319">
        <v>144.0</v>
      </c>
      <c r="B83" s="320" t="s">
        <v>232</v>
      </c>
      <c r="C83" s="321" t="s">
        <v>20</v>
      </c>
      <c r="D83" s="321" t="s">
        <v>234</v>
      </c>
      <c r="E83" s="371" t="s">
        <v>867</v>
      </c>
      <c r="F83" s="329" t="s">
        <v>232</v>
      </c>
      <c r="G83" s="329" t="s">
        <v>20</v>
      </c>
      <c r="H83" s="329" t="s">
        <v>868</v>
      </c>
      <c r="I83" s="377"/>
      <c r="J83" s="377"/>
      <c r="K83" s="340" t="s">
        <v>340</v>
      </c>
      <c r="L83" s="327"/>
      <c r="M83" s="334"/>
      <c r="N83" s="327" t="s">
        <v>260</v>
      </c>
      <c r="O83" s="339" t="s">
        <v>341</v>
      </c>
      <c r="P83" s="327">
        <v>2.0</v>
      </c>
      <c r="Q83" s="327">
        <v>1.0</v>
      </c>
      <c r="R83" s="379"/>
      <c r="S83" s="379"/>
      <c r="T83" s="328"/>
      <c r="U83" s="155"/>
      <c r="V83" s="155"/>
    </row>
    <row r="84" hidden="1">
      <c r="A84" s="319">
        <v>145.0</v>
      </c>
      <c r="B84" s="320" t="s">
        <v>232</v>
      </c>
      <c r="C84" s="321" t="s">
        <v>20</v>
      </c>
      <c r="D84" s="321" t="s">
        <v>235</v>
      </c>
      <c r="E84" s="371" t="s">
        <v>869</v>
      </c>
      <c r="F84" s="329" t="s">
        <v>232</v>
      </c>
      <c r="G84" s="329" t="s">
        <v>20</v>
      </c>
      <c r="H84" s="329" t="s">
        <v>870</v>
      </c>
      <c r="I84" s="377"/>
      <c r="J84" s="377"/>
      <c r="K84" s="333"/>
      <c r="L84" s="327"/>
      <c r="M84" s="334"/>
      <c r="N84" s="327" t="s">
        <v>260</v>
      </c>
      <c r="O84" s="339" t="s">
        <v>269</v>
      </c>
      <c r="P84" s="327">
        <v>2.0</v>
      </c>
      <c r="Q84" s="327">
        <v>1.0</v>
      </c>
      <c r="R84" s="379"/>
      <c r="S84" s="379"/>
      <c r="T84" s="328"/>
      <c r="U84" s="155"/>
      <c r="V84" s="155"/>
    </row>
    <row r="85">
      <c r="A85" s="319">
        <v>146.0</v>
      </c>
      <c r="B85" s="320" t="s">
        <v>232</v>
      </c>
      <c r="C85" s="321" t="s">
        <v>20</v>
      </c>
      <c r="D85" s="321" t="s">
        <v>236</v>
      </c>
      <c r="E85" s="371" t="s">
        <v>871</v>
      </c>
      <c r="F85" s="329" t="s">
        <v>232</v>
      </c>
      <c r="G85" s="329" t="s">
        <v>20</v>
      </c>
      <c r="H85" s="329" t="s">
        <v>872</v>
      </c>
      <c r="I85" s="327">
        <v>2.0</v>
      </c>
      <c r="J85" s="327">
        <v>2.0</v>
      </c>
      <c r="K85" s="333"/>
      <c r="L85" s="327"/>
      <c r="M85" s="334"/>
      <c r="N85" s="327" t="s">
        <v>260</v>
      </c>
      <c r="O85" s="339" t="s">
        <v>262</v>
      </c>
      <c r="P85" s="327">
        <v>2.0</v>
      </c>
      <c r="Q85" s="379"/>
      <c r="R85" s="379"/>
      <c r="S85" s="379"/>
      <c r="T85" s="328"/>
      <c r="U85" s="155"/>
      <c r="V85" s="155"/>
    </row>
    <row r="86" hidden="1">
      <c r="A86" s="319">
        <v>147.0</v>
      </c>
      <c r="B86" s="320" t="s">
        <v>232</v>
      </c>
      <c r="C86" s="321" t="s">
        <v>20</v>
      </c>
      <c r="D86" s="321" t="s">
        <v>237</v>
      </c>
      <c r="E86" s="371" t="s">
        <v>873</v>
      </c>
      <c r="F86" s="329" t="s">
        <v>232</v>
      </c>
      <c r="G86" s="329" t="s">
        <v>20</v>
      </c>
      <c r="H86" s="329" t="s">
        <v>874</v>
      </c>
      <c r="I86" s="327">
        <v>2.0</v>
      </c>
      <c r="J86" s="327">
        <v>2.0</v>
      </c>
      <c r="K86" s="333"/>
      <c r="L86" s="327"/>
      <c r="M86" s="334"/>
      <c r="N86" s="327" t="s">
        <v>260</v>
      </c>
      <c r="O86" s="339" t="s">
        <v>261</v>
      </c>
      <c r="P86" s="327">
        <v>2.0</v>
      </c>
      <c r="Q86" s="327">
        <v>1.0</v>
      </c>
      <c r="R86" s="379"/>
      <c r="S86" s="379"/>
      <c r="T86" s="328"/>
      <c r="U86" s="155"/>
      <c r="V86" s="155"/>
    </row>
    <row r="87" hidden="1">
      <c r="A87" s="319">
        <v>148.0</v>
      </c>
      <c r="B87" s="320" t="s">
        <v>232</v>
      </c>
      <c r="C87" s="321" t="s">
        <v>71</v>
      </c>
      <c r="D87" s="321" t="s">
        <v>238</v>
      </c>
      <c r="E87" s="371" t="s">
        <v>875</v>
      </c>
      <c r="F87" s="329" t="s">
        <v>232</v>
      </c>
      <c r="G87" s="329" t="s">
        <v>71</v>
      </c>
      <c r="H87" s="329" t="s">
        <v>876</v>
      </c>
      <c r="I87" s="327">
        <v>4.0</v>
      </c>
      <c r="J87" s="327">
        <v>4.0</v>
      </c>
      <c r="K87" s="333"/>
      <c r="L87" s="327"/>
      <c r="M87" s="334"/>
      <c r="N87" s="327" t="s">
        <v>260</v>
      </c>
      <c r="O87" s="339" t="s">
        <v>263</v>
      </c>
      <c r="P87" s="327">
        <v>0.0</v>
      </c>
      <c r="Q87" s="379"/>
      <c r="R87" s="379"/>
      <c r="S87" s="379"/>
      <c r="T87" s="328"/>
      <c r="U87" s="155"/>
      <c r="V87" s="155"/>
    </row>
    <row r="88">
      <c r="A88" s="319">
        <v>149.0</v>
      </c>
      <c r="B88" s="320" t="s">
        <v>232</v>
      </c>
      <c r="C88" s="321" t="s">
        <v>71</v>
      </c>
      <c r="D88" s="321" t="s">
        <v>239</v>
      </c>
      <c r="E88" s="371" t="s">
        <v>877</v>
      </c>
      <c r="F88" s="329" t="s">
        <v>232</v>
      </c>
      <c r="G88" s="329" t="s">
        <v>71</v>
      </c>
      <c r="H88" s="329" t="s">
        <v>878</v>
      </c>
      <c r="I88" s="327">
        <v>2.0</v>
      </c>
      <c r="J88" s="327">
        <v>2.0</v>
      </c>
      <c r="K88" s="333"/>
      <c r="L88" s="327"/>
      <c r="M88" s="334"/>
      <c r="N88" s="327" t="s">
        <v>260</v>
      </c>
      <c r="O88" s="339" t="s">
        <v>261</v>
      </c>
      <c r="P88" s="327">
        <v>2.0</v>
      </c>
      <c r="Q88" s="379"/>
      <c r="R88" s="379"/>
      <c r="S88" s="379"/>
      <c r="T88" s="328"/>
      <c r="U88" s="155"/>
      <c r="V88" s="155"/>
    </row>
    <row r="89">
      <c r="A89" s="319">
        <v>150.0</v>
      </c>
      <c r="B89" s="320" t="s">
        <v>232</v>
      </c>
      <c r="C89" s="321" t="s">
        <v>71</v>
      </c>
      <c r="D89" s="321" t="s">
        <v>240</v>
      </c>
      <c r="E89" s="371" t="s">
        <v>879</v>
      </c>
      <c r="F89" s="329" t="s">
        <v>232</v>
      </c>
      <c r="G89" s="329" t="s">
        <v>71</v>
      </c>
      <c r="H89" s="329" t="s">
        <v>880</v>
      </c>
      <c r="I89" s="327">
        <v>6.0</v>
      </c>
      <c r="J89" s="327">
        <v>6.0</v>
      </c>
      <c r="K89" s="333"/>
      <c r="L89" s="327"/>
      <c r="M89" s="334"/>
      <c r="N89" s="327" t="s">
        <v>260</v>
      </c>
      <c r="O89" s="339" t="s">
        <v>263</v>
      </c>
      <c r="P89" s="327">
        <v>2.0</v>
      </c>
      <c r="Q89" s="379"/>
      <c r="R89" s="379"/>
      <c r="S89" s="379"/>
      <c r="T89" s="328"/>
      <c r="U89" s="155"/>
      <c r="V89" s="155"/>
    </row>
    <row r="90" hidden="1">
      <c r="A90" s="319">
        <v>151.0</v>
      </c>
      <c r="B90" s="320" t="s">
        <v>232</v>
      </c>
      <c r="C90" s="321" t="s">
        <v>71</v>
      </c>
      <c r="D90" s="321" t="s">
        <v>241</v>
      </c>
      <c r="E90" s="371" t="s">
        <v>881</v>
      </c>
      <c r="F90" s="329" t="s">
        <v>232</v>
      </c>
      <c r="G90" s="329" t="s">
        <v>71</v>
      </c>
      <c r="H90" s="329" t="s">
        <v>882</v>
      </c>
      <c r="I90" s="327">
        <v>16.0</v>
      </c>
      <c r="J90" s="327">
        <v>16.0</v>
      </c>
      <c r="K90" s="333"/>
      <c r="L90" s="327"/>
      <c r="M90" s="334"/>
      <c r="N90" s="327" t="s">
        <v>260</v>
      </c>
      <c r="O90" s="339" t="s">
        <v>341</v>
      </c>
      <c r="P90" s="327">
        <v>2.0</v>
      </c>
      <c r="Q90" s="327">
        <v>1.0</v>
      </c>
      <c r="R90" s="379"/>
      <c r="S90" s="379"/>
      <c r="T90" s="328"/>
      <c r="U90" s="155"/>
      <c r="V90" s="155"/>
    </row>
    <row r="91" hidden="1">
      <c r="A91" s="319">
        <v>152.0</v>
      </c>
      <c r="B91" s="320" t="s">
        <v>232</v>
      </c>
      <c r="C91" s="321" t="s">
        <v>71</v>
      </c>
      <c r="D91" s="321" t="s">
        <v>242</v>
      </c>
      <c r="E91" s="371" t="s">
        <v>883</v>
      </c>
      <c r="F91" s="329" t="s">
        <v>232</v>
      </c>
      <c r="G91" s="329" t="s">
        <v>71</v>
      </c>
      <c r="H91" s="329" t="s">
        <v>884</v>
      </c>
      <c r="I91" s="327">
        <v>8.0</v>
      </c>
      <c r="J91" s="327">
        <v>8.0</v>
      </c>
      <c r="K91" s="333"/>
      <c r="L91" s="327"/>
      <c r="M91" s="334"/>
      <c r="N91" s="327" t="s">
        <v>260</v>
      </c>
      <c r="O91" s="339" t="s">
        <v>261</v>
      </c>
      <c r="P91" s="327">
        <v>2.0</v>
      </c>
      <c r="Q91" s="327">
        <v>1.0</v>
      </c>
      <c r="R91" s="379"/>
      <c r="S91" s="379"/>
      <c r="T91" s="328"/>
      <c r="U91" s="155"/>
      <c r="V91" s="155"/>
    </row>
    <row r="92" hidden="1">
      <c r="A92" s="319">
        <v>154.0</v>
      </c>
      <c r="B92" s="380" t="s">
        <v>243</v>
      </c>
      <c r="C92" s="380" t="s">
        <v>71</v>
      </c>
      <c r="D92" s="381" t="s">
        <v>244</v>
      </c>
      <c r="E92" s="371" t="s">
        <v>885</v>
      </c>
      <c r="F92" s="329" t="s">
        <v>243</v>
      </c>
      <c r="G92" s="329" t="s">
        <v>71</v>
      </c>
      <c r="H92" s="329" t="s">
        <v>886</v>
      </c>
      <c r="I92" s="327">
        <v>2.0</v>
      </c>
      <c r="J92" s="327">
        <v>2.0</v>
      </c>
      <c r="K92" s="345" t="s">
        <v>297</v>
      </c>
      <c r="L92" s="334"/>
      <c r="M92" s="334"/>
      <c r="N92" s="327" t="s">
        <v>260</v>
      </c>
      <c r="O92" s="339" t="s">
        <v>261</v>
      </c>
      <c r="P92" s="318">
        <v>2.0</v>
      </c>
      <c r="Q92" s="318">
        <v>1.0</v>
      </c>
      <c r="R92" s="334"/>
      <c r="S92" s="334"/>
      <c r="T92" s="334"/>
      <c r="U92" s="155"/>
      <c r="V92" s="155"/>
    </row>
    <row r="93" hidden="1">
      <c r="A93" s="319">
        <v>155.0</v>
      </c>
      <c r="B93" s="369" t="s">
        <v>245</v>
      </c>
      <c r="C93" s="370" t="s">
        <v>88</v>
      </c>
      <c r="D93" s="370" t="s">
        <v>246</v>
      </c>
      <c r="E93" s="371" t="s">
        <v>887</v>
      </c>
      <c r="F93" s="329" t="s">
        <v>888</v>
      </c>
      <c r="G93" s="329" t="s">
        <v>71</v>
      </c>
      <c r="H93" s="329" t="s">
        <v>889</v>
      </c>
      <c r="I93" s="327">
        <v>2.0</v>
      </c>
      <c r="J93" s="327">
        <v>2.0</v>
      </c>
      <c r="K93" s="333"/>
      <c r="L93" s="382"/>
      <c r="M93" s="334"/>
      <c r="N93" s="327" t="s">
        <v>260</v>
      </c>
      <c r="O93" s="339" t="s">
        <v>269</v>
      </c>
      <c r="P93" s="382">
        <v>2.0</v>
      </c>
      <c r="Q93" s="382">
        <v>1.0</v>
      </c>
      <c r="R93" s="383"/>
      <c r="S93" s="383"/>
      <c r="T93" s="384"/>
      <c r="U93" s="155"/>
      <c r="V93" s="155"/>
    </row>
    <row r="94" hidden="1">
      <c r="A94" s="319">
        <v>156.0</v>
      </c>
      <c r="B94" s="369" t="s">
        <v>247</v>
      </c>
      <c r="C94" s="370" t="s">
        <v>88</v>
      </c>
      <c r="D94" s="370" t="s">
        <v>248</v>
      </c>
      <c r="E94" s="371" t="s">
        <v>890</v>
      </c>
      <c r="F94" s="329" t="s">
        <v>247</v>
      </c>
      <c r="G94" s="329" t="s">
        <v>71</v>
      </c>
      <c r="H94" s="329" t="s">
        <v>891</v>
      </c>
      <c r="I94" s="334"/>
      <c r="J94" s="334"/>
      <c r="K94" s="333"/>
      <c r="L94" s="382"/>
      <c r="M94" s="334"/>
      <c r="N94" s="327" t="s">
        <v>260</v>
      </c>
      <c r="O94" s="339" t="s">
        <v>269</v>
      </c>
      <c r="P94" s="382">
        <v>1.0</v>
      </c>
      <c r="Q94" s="382">
        <v>1.0</v>
      </c>
      <c r="R94" s="382"/>
      <c r="S94" s="383"/>
      <c r="T94" s="384"/>
      <c r="U94" s="155"/>
      <c r="V94" s="155"/>
    </row>
    <row r="95">
      <c r="A95" s="319">
        <v>157.0</v>
      </c>
      <c r="B95" s="385"/>
      <c r="C95" s="385"/>
      <c r="D95" s="385"/>
      <c r="E95" s="375"/>
      <c r="F95" s="386"/>
      <c r="G95" s="333"/>
      <c r="H95" s="333"/>
      <c r="I95" s="382">
        <v>2.0</v>
      </c>
      <c r="J95" s="382">
        <v>2.0</v>
      </c>
      <c r="K95" s="333"/>
      <c r="L95" s="334"/>
      <c r="M95" s="334"/>
      <c r="N95" s="334"/>
      <c r="O95" s="334"/>
      <c r="P95" s="334"/>
      <c r="Q95" s="334"/>
      <c r="R95" s="334"/>
      <c r="S95" s="334"/>
      <c r="T95" s="334"/>
      <c r="U95" s="155"/>
      <c r="V95" s="155"/>
    </row>
    <row r="96">
      <c r="A96" s="319">
        <v>158.0</v>
      </c>
      <c r="B96" s="380" t="s">
        <v>342</v>
      </c>
      <c r="C96" s="385"/>
      <c r="D96" s="381" t="s">
        <v>343</v>
      </c>
      <c r="E96" s="348" t="s">
        <v>892</v>
      </c>
      <c r="F96" s="363" t="s">
        <v>342</v>
      </c>
      <c r="G96" s="363" t="s">
        <v>20</v>
      </c>
      <c r="H96" s="363" t="s">
        <v>893</v>
      </c>
      <c r="I96" s="382">
        <v>16.0</v>
      </c>
      <c r="J96" s="382">
        <v>16.0</v>
      </c>
      <c r="K96" s="334"/>
      <c r="L96" s="334"/>
      <c r="M96" s="334"/>
      <c r="N96" s="334"/>
      <c r="O96" s="334"/>
      <c r="P96" s="318">
        <v>1.0</v>
      </c>
      <c r="Q96" s="334"/>
      <c r="R96" s="334"/>
      <c r="S96" s="334"/>
      <c r="T96" s="334"/>
      <c r="U96" s="155"/>
      <c r="V96" s="155"/>
    </row>
    <row r="97">
      <c r="A97" s="319"/>
      <c r="B97" s="380"/>
      <c r="C97" s="385"/>
      <c r="D97" s="381"/>
      <c r="E97" s="348" t="s">
        <v>894</v>
      </c>
      <c r="F97" s="368" t="s">
        <v>342</v>
      </c>
      <c r="G97" s="363" t="s">
        <v>20</v>
      </c>
      <c r="H97" s="363" t="s">
        <v>895</v>
      </c>
      <c r="I97" s="334"/>
      <c r="J97" s="334"/>
      <c r="K97" s="333"/>
      <c r="L97" s="334"/>
      <c r="M97" s="334"/>
      <c r="N97" s="334"/>
      <c r="O97" s="334"/>
      <c r="P97" s="318">
        <v>1.0</v>
      </c>
      <c r="Q97" s="334"/>
      <c r="R97" s="334"/>
      <c r="S97" s="334"/>
      <c r="T97" s="334"/>
      <c r="U97" s="155"/>
      <c r="V97" s="155"/>
    </row>
    <row r="98">
      <c r="A98" s="319"/>
      <c r="B98" s="380"/>
      <c r="C98" s="385"/>
      <c r="D98" s="381"/>
      <c r="E98" s="348" t="s">
        <v>896</v>
      </c>
      <c r="F98" s="363" t="s">
        <v>342</v>
      </c>
      <c r="G98" s="363" t="s">
        <v>20</v>
      </c>
      <c r="H98" s="363" t="s">
        <v>897</v>
      </c>
      <c r="I98" s="334"/>
      <c r="J98" s="334"/>
      <c r="K98" s="333"/>
      <c r="L98" s="334"/>
      <c r="M98" s="334"/>
      <c r="N98" s="334"/>
      <c r="O98" s="334"/>
      <c r="P98" s="318">
        <v>1.0</v>
      </c>
      <c r="Q98" s="334"/>
      <c r="R98" s="334"/>
      <c r="S98" s="334"/>
      <c r="T98" s="334"/>
      <c r="U98" s="155"/>
      <c r="V98" s="155"/>
    </row>
    <row r="99">
      <c r="A99" s="319">
        <v>159.0</v>
      </c>
      <c r="B99" s="380" t="s">
        <v>344</v>
      </c>
      <c r="C99" s="385"/>
      <c r="D99" s="381" t="s">
        <v>345</v>
      </c>
      <c r="E99" s="348" t="s">
        <v>898</v>
      </c>
      <c r="F99" s="363" t="s">
        <v>344</v>
      </c>
      <c r="G99" s="363" t="s">
        <v>899</v>
      </c>
      <c r="H99" s="363" t="s">
        <v>900</v>
      </c>
      <c r="I99" s="334"/>
      <c r="J99" s="334"/>
      <c r="K99" s="333"/>
      <c r="L99" s="334"/>
      <c r="M99" s="334"/>
      <c r="N99" s="334"/>
      <c r="O99" s="334"/>
      <c r="P99" s="318">
        <v>1.0</v>
      </c>
      <c r="Q99" s="334"/>
      <c r="R99" s="334"/>
      <c r="S99" s="334"/>
      <c r="T99" s="334"/>
      <c r="U99" s="155"/>
      <c r="V99" s="155"/>
    </row>
    <row r="100">
      <c r="A100" s="319">
        <v>160.0</v>
      </c>
      <c r="B100" s="380" t="s">
        <v>346</v>
      </c>
      <c r="C100" s="385"/>
      <c r="D100" s="381" t="s">
        <v>347</v>
      </c>
      <c r="E100" s="371" t="s">
        <v>901</v>
      </c>
      <c r="F100" s="363" t="s">
        <v>346</v>
      </c>
      <c r="G100" s="363" t="s">
        <v>902</v>
      </c>
      <c r="H100" s="363" t="s">
        <v>903</v>
      </c>
      <c r="I100" s="318">
        <v>50.0</v>
      </c>
      <c r="J100" s="318">
        <v>50.0</v>
      </c>
      <c r="K100" s="331" t="s">
        <v>453</v>
      </c>
      <c r="L100" s="334"/>
      <c r="M100" s="318">
        <v>24.0</v>
      </c>
      <c r="N100" s="334"/>
      <c r="O100" s="334"/>
      <c r="P100" s="334"/>
      <c r="Q100" s="334"/>
      <c r="R100" s="334"/>
      <c r="S100" s="334"/>
      <c r="T100" s="334"/>
      <c r="U100" s="155"/>
      <c r="V100" s="155"/>
    </row>
    <row r="101">
      <c r="A101" s="319">
        <v>161.0</v>
      </c>
      <c r="B101" s="385"/>
      <c r="C101" s="385"/>
      <c r="D101" s="385"/>
      <c r="E101" s="375"/>
      <c r="F101" s="363"/>
      <c r="G101" s="363"/>
      <c r="H101" s="363"/>
      <c r="I101" s="318">
        <v>20.0</v>
      </c>
      <c r="J101" s="318">
        <v>20.0</v>
      </c>
      <c r="K101" s="333"/>
      <c r="L101" s="334"/>
      <c r="M101" s="334"/>
      <c r="N101" s="334"/>
      <c r="O101" s="334"/>
      <c r="P101" s="334"/>
      <c r="Q101" s="334"/>
      <c r="R101" s="334"/>
      <c r="S101" s="334"/>
      <c r="T101" s="334"/>
      <c r="U101" s="155"/>
      <c r="V101" s="155"/>
    </row>
    <row r="102">
      <c r="A102" s="319">
        <v>162.0</v>
      </c>
      <c r="B102" s="387" t="s">
        <v>249</v>
      </c>
      <c r="C102" s="388" t="s">
        <v>20</v>
      </c>
      <c r="D102" s="388" t="s">
        <v>250</v>
      </c>
      <c r="E102" s="348" t="s">
        <v>904</v>
      </c>
      <c r="F102" s="363" t="s">
        <v>905</v>
      </c>
      <c r="G102" s="363" t="s">
        <v>20</v>
      </c>
      <c r="H102" s="363" t="s">
        <v>906</v>
      </c>
      <c r="I102" s="318">
        <v>8.0</v>
      </c>
      <c r="J102" s="318">
        <v>24.0</v>
      </c>
      <c r="K102" s="333"/>
      <c r="L102" s="334"/>
      <c r="M102" s="334"/>
      <c r="N102" s="334"/>
      <c r="O102" s="334"/>
      <c r="P102" s="318">
        <v>1.0</v>
      </c>
      <c r="Q102" s="334"/>
      <c r="R102" s="334"/>
      <c r="S102" s="334"/>
      <c r="T102" s="334"/>
      <c r="U102" s="155"/>
      <c r="V102" s="155"/>
    </row>
    <row r="103">
      <c r="A103" s="319">
        <v>163.0</v>
      </c>
      <c r="B103" s="387" t="s">
        <v>249</v>
      </c>
      <c r="C103" s="388" t="s">
        <v>20</v>
      </c>
      <c r="D103" s="388" t="s">
        <v>251</v>
      </c>
      <c r="E103" s="348" t="s">
        <v>907</v>
      </c>
      <c r="F103" s="363" t="s">
        <v>905</v>
      </c>
      <c r="G103" s="363" t="s">
        <v>20</v>
      </c>
      <c r="H103" s="363" t="s">
        <v>908</v>
      </c>
      <c r="I103" s="334"/>
      <c r="J103" s="334"/>
      <c r="K103" s="333"/>
      <c r="L103" s="334"/>
      <c r="M103" s="334"/>
      <c r="N103" s="334"/>
      <c r="O103" s="334"/>
      <c r="P103" s="318">
        <v>2.0</v>
      </c>
      <c r="Q103" s="334"/>
      <c r="R103" s="334"/>
      <c r="S103" s="334"/>
      <c r="T103" s="334"/>
      <c r="U103" s="155"/>
      <c r="V103" s="155"/>
    </row>
    <row r="104">
      <c r="A104" s="319">
        <v>164.0</v>
      </c>
      <c r="B104" s="387" t="s">
        <v>249</v>
      </c>
      <c r="C104" s="388" t="s">
        <v>20</v>
      </c>
      <c r="D104" s="388" t="s">
        <v>252</v>
      </c>
      <c r="E104" s="348" t="s">
        <v>909</v>
      </c>
      <c r="F104" s="363" t="s">
        <v>905</v>
      </c>
      <c r="G104" s="363" t="s">
        <v>20</v>
      </c>
      <c r="H104" s="363" t="s">
        <v>910</v>
      </c>
      <c r="I104" s="334"/>
      <c r="J104" s="334"/>
      <c r="K104" s="333"/>
      <c r="L104" s="334"/>
      <c r="M104" s="334"/>
      <c r="N104" s="334"/>
      <c r="O104" s="334"/>
      <c r="P104" s="318">
        <v>2.0</v>
      </c>
      <c r="Q104" s="334"/>
      <c r="R104" s="334"/>
      <c r="S104" s="334"/>
      <c r="T104" s="334"/>
      <c r="U104" s="155"/>
      <c r="V104" s="155"/>
    </row>
    <row r="105">
      <c r="A105" s="319">
        <v>165.0</v>
      </c>
      <c r="B105" s="387" t="s">
        <v>249</v>
      </c>
      <c r="C105" s="388" t="s">
        <v>71</v>
      </c>
      <c r="D105" s="388" t="s">
        <v>253</v>
      </c>
      <c r="E105" s="348" t="s">
        <v>911</v>
      </c>
      <c r="F105" s="363" t="s">
        <v>905</v>
      </c>
      <c r="G105" s="363" t="s">
        <v>71</v>
      </c>
      <c r="H105" s="363" t="s">
        <v>912</v>
      </c>
      <c r="I105" s="334"/>
      <c r="J105" s="334"/>
      <c r="K105" s="333"/>
      <c r="L105" s="334"/>
      <c r="M105" s="334"/>
      <c r="N105" s="334"/>
      <c r="O105" s="334"/>
      <c r="P105" s="334"/>
      <c r="Q105" s="334"/>
      <c r="R105" s="334"/>
      <c r="S105" s="334"/>
      <c r="T105" s="334"/>
      <c r="U105" s="155"/>
      <c r="V105" s="155"/>
    </row>
    <row r="106">
      <c r="A106" s="389">
        <v>166.0</v>
      </c>
      <c r="B106" s="390" t="s">
        <v>249</v>
      </c>
      <c r="C106" s="391" t="s">
        <v>20</v>
      </c>
      <c r="D106" s="391" t="s">
        <v>254</v>
      </c>
      <c r="E106" s="392" t="s">
        <v>913</v>
      </c>
      <c r="F106" s="393" t="s">
        <v>905</v>
      </c>
      <c r="G106" s="393" t="s">
        <v>20</v>
      </c>
      <c r="H106" s="393" t="s">
        <v>914</v>
      </c>
      <c r="I106" s="394"/>
      <c r="J106" s="394"/>
      <c r="K106" s="395"/>
      <c r="L106" s="394"/>
      <c r="M106" s="394"/>
      <c r="N106" s="394"/>
      <c r="O106" s="394"/>
      <c r="P106" s="394"/>
      <c r="Q106" s="394"/>
      <c r="R106" s="394"/>
      <c r="S106" s="394"/>
      <c r="T106" s="394"/>
      <c r="U106" s="155"/>
      <c r="V106" s="155"/>
    </row>
    <row r="107">
      <c r="B107" s="396"/>
      <c r="C107" s="396"/>
      <c r="D107" s="396"/>
      <c r="E107" s="397"/>
      <c r="H107" s="3"/>
      <c r="K107" s="3"/>
    </row>
    <row r="108">
      <c r="B108" s="396"/>
      <c r="C108" s="396"/>
      <c r="D108" s="396"/>
      <c r="E108" s="397"/>
      <c r="F108" s="3"/>
      <c r="G108" s="3"/>
      <c r="H108" s="3"/>
      <c r="K108" s="118"/>
      <c r="S108" s="118" t="s">
        <v>915</v>
      </c>
    </row>
    <row r="109">
      <c r="B109" s="396"/>
      <c r="C109" s="396"/>
      <c r="D109" s="396"/>
      <c r="E109" s="397"/>
      <c r="F109" s="398"/>
      <c r="G109" s="398"/>
      <c r="H109" s="398"/>
      <c r="S109" s="399" t="s">
        <v>916</v>
      </c>
    </row>
    <row r="110">
      <c r="B110" s="396"/>
      <c r="C110" s="396"/>
      <c r="D110" s="396"/>
      <c r="E110" s="397"/>
      <c r="F110" s="3"/>
      <c r="G110" s="3"/>
      <c r="H110" s="3"/>
      <c r="I110" s="155">
        <f t="shared" ref="I110:J110" si="1">SUM(I3:I103)</f>
        <v>418</v>
      </c>
      <c r="J110" s="155">
        <f t="shared" si="1"/>
        <v>532</v>
      </c>
      <c r="K110" s="3"/>
    </row>
    <row r="111">
      <c r="B111" s="396"/>
      <c r="C111" s="396"/>
      <c r="D111" s="396"/>
      <c r="E111" s="397"/>
      <c r="F111" s="3"/>
      <c r="G111" s="3"/>
      <c r="H111" s="3"/>
      <c r="I111" s="244">
        <f t="shared" ref="I111:J111" si="2">I110/8/2</f>
        <v>26.125</v>
      </c>
      <c r="J111" s="244">
        <f t="shared" si="2"/>
        <v>33.25</v>
      </c>
      <c r="K111" s="3"/>
    </row>
    <row r="112">
      <c r="B112" s="396"/>
      <c r="C112" s="396"/>
      <c r="D112" s="396"/>
      <c r="E112" s="397"/>
      <c r="F112" s="3"/>
      <c r="G112" s="3"/>
      <c r="H112" s="3"/>
      <c r="K112" s="3"/>
    </row>
    <row r="113">
      <c r="B113" s="396"/>
      <c r="C113" s="396"/>
      <c r="D113" s="396"/>
      <c r="E113" s="397"/>
      <c r="F113" s="3"/>
      <c r="G113" s="3"/>
      <c r="H113" s="3"/>
      <c r="K113" s="3"/>
    </row>
    <row r="114">
      <c r="B114" s="396"/>
      <c r="C114" s="396"/>
      <c r="D114" s="396"/>
      <c r="E114" s="400"/>
      <c r="F114" s="3"/>
      <c r="G114" s="3"/>
      <c r="H114" s="3"/>
      <c r="K114" s="3"/>
    </row>
    <row r="115">
      <c r="B115" s="396"/>
      <c r="C115" s="396"/>
      <c r="D115" s="396"/>
      <c r="E115" s="401"/>
      <c r="F115" s="3"/>
      <c r="G115" s="3"/>
      <c r="H115" s="3"/>
      <c r="K115" s="3"/>
    </row>
    <row r="116">
      <c r="B116" s="396"/>
      <c r="C116" s="396"/>
      <c r="D116" s="396"/>
      <c r="E116" s="397"/>
      <c r="F116" s="3"/>
      <c r="G116" s="3"/>
      <c r="H116" s="3"/>
      <c r="K116" s="3"/>
    </row>
    <row r="117">
      <c r="B117" s="396"/>
      <c r="C117" s="396"/>
      <c r="D117" s="396"/>
      <c r="E117" s="397"/>
      <c r="F117" s="118"/>
      <c r="G117" s="118"/>
      <c r="H117" s="118"/>
      <c r="K117" s="3"/>
    </row>
    <row r="118">
      <c r="B118" s="396"/>
      <c r="C118" s="396"/>
      <c r="D118" s="396"/>
      <c r="E118" s="397"/>
      <c r="H118" s="3"/>
      <c r="K118" s="3"/>
    </row>
    <row r="119">
      <c r="B119" s="396"/>
      <c r="C119" s="396"/>
      <c r="D119" s="396"/>
      <c r="E119" s="397"/>
      <c r="F119" s="3"/>
      <c r="G119" s="3"/>
      <c r="H119" s="3"/>
      <c r="K119" s="3"/>
    </row>
    <row r="120">
      <c r="B120" s="396"/>
      <c r="C120" s="396"/>
      <c r="D120" s="396"/>
      <c r="E120" s="397"/>
      <c r="F120" s="3"/>
      <c r="G120" s="3"/>
      <c r="H120" s="3"/>
      <c r="K120" s="3"/>
    </row>
    <row r="121">
      <c r="B121" s="396"/>
      <c r="C121" s="396"/>
      <c r="D121" s="396"/>
      <c r="E121" s="397"/>
      <c r="F121" s="3"/>
      <c r="G121" s="3"/>
      <c r="H121" s="3"/>
      <c r="K121" s="3"/>
    </row>
    <row r="122">
      <c r="B122" s="396"/>
      <c r="C122" s="396"/>
      <c r="D122" s="396"/>
      <c r="E122" s="397"/>
      <c r="F122" s="3"/>
      <c r="G122" s="3"/>
      <c r="H122" s="3"/>
      <c r="K122" s="3"/>
    </row>
    <row r="123">
      <c r="B123" s="396"/>
      <c r="C123" s="396"/>
      <c r="D123" s="396"/>
      <c r="E123" s="397"/>
      <c r="F123" s="3"/>
      <c r="G123" s="3"/>
      <c r="H123" s="3"/>
      <c r="K123" s="3"/>
    </row>
    <row r="124">
      <c r="B124" s="396"/>
      <c r="C124" s="396"/>
      <c r="D124" s="396"/>
      <c r="E124" s="397"/>
      <c r="F124" s="3"/>
      <c r="G124" s="3"/>
      <c r="H124" s="3"/>
      <c r="K124" s="3"/>
    </row>
    <row r="125">
      <c r="B125" s="396"/>
      <c r="C125" s="396"/>
      <c r="D125" s="396"/>
      <c r="E125" s="397"/>
      <c r="F125" s="3"/>
      <c r="G125" s="3"/>
      <c r="H125" s="3"/>
      <c r="K125" s="3"/>
    </row>
    <row r="126">
      <c r="B126" s="396"/>
      <c r="C126" s="396"/>
      <c r="D126" s="396"/>
      <c r="E126" s="397"/>
      <c r="F126" s="3"/>
      <c r="G126" s="3"/>
      <c r="H126" s="3"/>
      <c r="K126" s="3"/>
    </row>
    <row r="127">
      <c r="B127" s="396"/>
      <c r="C127" s="396"/>
      <c r="D127" s="396"/>
      <c r="E127" s="397"/>
      <c r="F127" s="3"/>
      <c r="G127" s="3"/>
      <c r="H127" s="3"/>
      <c r="K127" s="3"/>
    </row>
    <row r="128">
      <c r="B128" s="396"/>
      <c r="C128" s="396"/>
      <c r="D128" s="396"/>
      <c r="E128" s="397"/>
      <c r="F128" s="3"/>
      <c r="G128" s="3"/>
      <c r="H128" s="3"/>
      <c r="K128" s="3"/>
    </row>
    <row r="129">
      <c r="B129" s="396"/>
      <c r="C129" s="396"/>
      <c r="D129" s="396"/>
      <c r="E129" s="397"/>
      <c r="F129" s="3"/>
      <c r="G129" s="3"/>
      <c r="H129" s="3"/>
      <c r="K129" s="3"/>
    </row>
    <row r="130">
      <c r="B130" s="396"/>
      <c r="C130" s="396"/>
      <c r="D130" s="396"/>
      <c r="E130" s="397"/>
      <c r="F130" s="3"/>
      <c r="G130" s="3"/>
      <c r="H130" s="3"/>
      <c r="K130" s="3"/>
    </row>
    <row r="131">
      <c r="B131" s="396"/>
      <c r="C131" s="396"/>
      <c r="D131" s="396"/>
      <c r="E131" s="397"/>
      <c r="F131" s="3"/>
      <c r="G131" s="3"/>
      <c r="H131" s="3"/>
      <c r="K131" s="3"/>
    </row>
    <row r="132">
      <c r="B132" s="396"/>
      <c r="C132" s="396"/>
      <c r="D132" s="396"/>
      <c r="E132" s="397"/>
      <c r="F132" s="3"/>
      <c r="G132" s="3"/>
      <c r="H132" s="3"/>
      <c r="K132" s="3"/>
    </row>
    <row r="133">
      <c r="B133" s="396"/>
      <c r="C133" s="396"/>
      <c r="D133" s="396"/>
      <c r="E133" s="397"/>
      <c r="F133" s="3"/>
      <c r="G133" s="3"/>
      <c r="H133" s="3"/>
      <c r="K133" s="3"/>
    </row>
    <row r="134">
      <c r="B134" s="396"/>
      <c r="C134" s="396"/>
      <c r="D134" s="396"/>
      <c r="E134" s="397"/>
      <c r="F134" s="3"/>
      <c r="G134" s="3"/>
      <c r="H134" s="3"/>
      <c r="K134" s="3"/>
    </row>
    <row r="135">
      <c r="B135" s="396"/>
      <c r="C135" s="396"/>
      <c r="D135" s="396"/>
      <c r="E135" s="397"/>
      <c r="F135" s="3"/>
      <c r="G135" s="3"/>
      <c r="H135" s="3"/>
      <c r="K135" s="3"/>
    </row>
    <row r="136">
      <c r="B136" s="396"/>
      <c r="C136" s="396"/>
      <c r="D136" s="396"/>
      <c r="E136" s="397"/>
      <c r="F136" s="3"/>
      <c r="G136" s="3"/>
      <c r="H136" s="3"/>
      <c r="K136" s="3"/>
    </row>
    <row r="137">
      <c r="B137" s="396"/>
      <c r="C137" s="396"/>
      <c r="D137" s="396"/>
      <c r="E137" s="397"/>
      <c r="F137" s="3"/>
      <c r="G137" s="3"/>
      <c r="H137" s="3"/>
      <c r="K137" s="3"/>
    </row>
    <row r="138">
      <c r="B138" s="396"/>
      <c r="C138" s="396"/>
      <c r="D138" s="396"/>
      <c r="E138" s="397"/>
      <c r="F138" s="3"/>
      <c r="G138" s="3"/>
      <c r="H138" s="3"/>
      <c r="K138" s="3"/>
    </row>
    <row r="139">
      <c r="B139" s="396"/>
      <c r="C139" s="396"/>
      <c r="D139" s="396"/>
      <c r="E139" s="397"/>
      <c r="F139" s="3"/>
      <c r="G139" s="3"/>
      <c r="H139" s="3"/>
      <c r="K139" s="3"/>
    </row>
    <row r="140">
      <c r="B140" s="396"/>
      <c r="C140" s="396"/>
      <c r="D140" s="396"/>
      <c r="E140" s="397"/>
      <c r="F140" s="3"/>
      <c r="G140" s="3"/>
      <c r="H140" s="3"/>
      <c r="K140" s="3"/>
    </row>
    <row r="141">
      <c r="B141" s="396"/>
      <c r="C141" s="396"/>
      <c r="D141" s="396"/>
      <c r="E141" s="397"/>
      <c r="F141" s="3"/>
      <c r="G141" s="3"/>
      <c r="H141" s="3"/>
      <c r="K141" s="3"/>
    </row>
    <row r="142">
      <c r="B142" s="396"/>
      <c r="C142" s="396"/>
      <c r="D142" s="396"/>
      <c r="E142" s="397"/>
      <c r="F142" s="3"/>
      <c r="G142" s="3"/>
      <c r="H142" s="3"/>
      <c r="K142" s="3"/>
    </row>
    <row r="143">
      <c r="B143" s="396"/>
      <c r="C143" s="396"/>
      <c r="D143" s="396"/>
      <c r="E143" s="397"/>
      <c r="F143" s="3"/>
      <c r="G143" s="3"/>
      <c r="H143" s="3"/>
      <c r="K143" s="3"/>
    </row>
    <row r="144">
      <c r="B144" s="396"/>
      <c r="C144" s="396"/>
      <c r="D144" s="396"/>
      <c r="E144" s="397"/>
      <c r="F144" s="3"/>
      <c r="G144" s="3"/>
      <c r="H144" s="3"/>
      <c r="K144" s="3"/>
    </row>
    <row r="145">
      <c r="B145" s="396"/>
      <c r="C145" s="396"/>
      <c r="D145" s="396"/>
      <c r="E145" s="397"/>
      <c r="F145" s="3"/>
      <c r="G145" s="3"/>
      <c r="H145" s="3"/>
      <c r="K145" s="3"/>
    </row>
    <row r="146">
      <c r="B146" s="396"/>
      <c r="C146" s="396"/>
      <c r="D146" s="396"/>
      <c r="E146" s="397"/>
      <c r="F146" s="3"/>
      <c r="G146" s="3"/>
      <c r="H146" s="3"/>
      <c r="K146" s="3"/>
    </row>
    <row r="147">
      <c r="B147" s="396"/>
      <c r="C147" s="396"/>
      <c r="D147" s="396"/>
      <c r="E147" s="397"/>
      <c r="F147" s="3"/>
      <c r="G147" s="3"/>
      <c r="H147" s="3"/>
      <c r="K147" s="3"/>
    </row>
    <row r="148">
      <c r="B148" s="396"/>
      <c r="C148" s="396"/>
      <c r="D148" s="396"/>
      <c r="E148" s="397"/>
      <c r="F148" s="3"/>
      <c r="G148" s="3"/>
      <c r="H148" s="3"/>
      <c r="K148" s="3"/>
    </row>
    <row r="149">
      <c r="B149" s="396"/>
      <c r="C149" s="396"/>
      <c r="D149" s="396"/>
      <c r="E149" s="397"/>
      <c r="F149" s="3"/>
      <c r="G149" s="3"/>
      <c r="H149" s="3"/>
      <c r="K149" s="3"/>
    </row>
    <row r="150">
      <c r="B150" s="396"/>
      <c r="C150" s="396"/>
      <c r="D150" s="396"/>
      <c r="E150" s="397"/>
      <c r="F150" s="3"/>
      <c r="G150" s="3"/>
      <c r="H150" s="3"/>
      <c r="K150" s="3"/>
    </row>
    <row r="151">
      <c r="B151" s="396"/>
      <c r="C151" s="396"/>
      <c r="D151" s="396"/>
      <c r="E151" s="397"/>
      <c r="F151" s="3"/>
      <c r="G151" s="3"/>
      <c r="H151" s="3"/>
      <c r="K151" s="3"/>
    </row>
    <row r="152">
      <c r="B152" s="396"/>
      <c r="C152" s="396"/>
      <c r="D152" s="396"/>
      <c r="E152" s="397"/>
      <c r="F152" s="3"/>
      <c r="G152" s="3"/>
      <c r="H152" s="3"/>
      <c r="K152" s="3"/>
    </row>
    <row r="153">
      <c r="B153" s="396"/>
      <c r="C153" s="396"/>
      <c r="D153" s="396"/>
      <c r="E153" s="397"/>
      <c r="F153" s="3"/>
      <c r="G153" s="3"/>
      <c r="H153" s="3"/>
      <c r="K153" s="3"/>
    </row>
    <row r="154">
      <c r="B154" s="396"/>
      <c r="C154" s="396"/>
      <c r="D154" s="396"/>
      <c r="E154" s="397"/>
      <c r="F154" s="3"/>
      <c r="G154" s="3"/>
      <c r="H154" s="3"/>
      <c r="K154" s="3"/>
    </row>
    <row r="155">
      <c r="B155" s="396"/>
      <c r="C155" s="396"/>
      <c r="D155" s="396"/>
      <c r="E155" s="397"/>
      <c r="F155" s="3"/>
      <c r="G155" s="3"/>
      <c r="H155" s="3"/>
      <c r="K155" s="3"/>
    </row>
    <row r="156">
      <c r="B156" s="396"/>
      <c r="C156" s="396"/>
      <c r="D156" s="396"/>
      <c r="E156" s="397"/>
      <c r="F156" s="3"/>
      <c r="G156" s="3"/>
      <c r="H156" s="3"/>
      <c r="K156" s="3"/>
    </row>
    <row r="157">
      <c r="B157" s="396"/>
      <c r="C157" s="396"/>
      <c r="D157" s="396"/>
      <c r="E157" s="397"/>
      <c r="F157" s="3"/>
      <c r="G157" s="3"/>
      <c r="H157" s="3"/>
      <c r="K157" s="3"/>
    </row>
    <row r="158">
      <c r="B158" s="396"/>
      <c r="C158" s="396"/>
      <c r="D158" s="396"/>
      <c r="E158" s="397"/>
      <c r="F158" s="3"/>
      <c r="G158" s="3"/>
      <c r="H158" s="3"/>
      <c r="K158" s="3"/>
    </row>
    <row r="159">
      <c r="B159" s="396"/>
      <c r="C159" s="396"/>
      <c r="D159" s="396"/>
      <c r="E159" s="397"/>
      <c r="F159" s="3"/>
      <c r="G159" s="3"/>
      <c r="H159" s="3"/>
      <c r="K159" s="3"/>
    </row>
    <row r="160">
      <c r="B160" s="396"/>
      <c r="C160" s="396"/>
      <c r="D160" s="396"/>
      <c r="E160" s="397"/>
      <c r="F160" s="3"/>
      <c r="G160" s="3"/>
      <c r="H160" s="3"/>
      <c r="K160" s="3"/>
    </row>
    <row r="161">
      <c r="B161" s="396"/>
      <c r="C161" s="396"/>
      <c r="D161" s="396"/>
      <c r="E161" s="397"/>
      <c r="F161" s="3"/>
      <c r="G161" s="3"/>
      <c r="H161" s="3"/>
      <c r="K161" s="3"/>
    </row>
    <row r="162">
      <c r="B162" s="396"/>
      <c r="C162" s="396"/>
      <c r="D162" s="396"/>
      <c r="E162" s="397"/>
      <c r="F162" s="3"/>
      <c r="G162" s="3"/>
      <c r="H162" s="3"/>
      <c r="K162" s="3"/>
    </row>
    <row r="163">
      <c r="B163" s="396"/>
      <c r="C163" s="396"/>
      <c r="D163" s="396"/>
      <c r="E163" s="397"/>
      <c r="F163" s="3"/>
      <c r="G163" s="3"/>
      <c r="H163" s="3"/>
      <c r="K163" s="3"/>
    </row>
    <row r="164">
      <c r="B164" s="396"/>
      <c r="C164" s="396"/>
      <c r="D164" s="396"/>
      <c r="E164" s="397"/>
      <c r="F164" s="3"/>
      <c r="G164" s="3"/>
      <c r="H164" s="3"/>
      <c r="K164" s="3"/>
    </row>
    <row r="165">
      <c r="B165" s="396"/>
      <c r="C165" s="396"/>
      <c r="D165" s="396"/>
      <c r="E165" s="397"/>
      <c r="F165" s="3"/>
      <c r="G165" s="3"/>
      <c r="H165" s="3"/>
      <c r="K165" s="3"/>
    </row>
    <row r="166">
      <c r="B166" s="396"/>
      <c r="C166" s="396"/>
      <c r="D166" s="396"/>
      <c r="E166" s="397"/>
      <c r="F166" s="3"/>
      <c r="G166" s="3"/>
      <c r="H166" s="3"/>
      <c r="K166" s="3"/>
    </row>
    <row r="167">
      <c r="B167" s="396"/>
      <c r="C167" s="396"/>
      <c r="D167" s="396"/>
      <c r="E167" s="397"/>
      <c r="F167" s="3"/>
      <c r="G167" s="3"/>
      <c r="H167" s="3"/>
      <c r="K167" s="3"/>
    </row>
    <row r="168">
      <c r="B168" s="396"/>
      <c r="C168" s="396"/>
      <c r="D168" s="396"/>
      <c r="E168" s="397"/>
      <c r="F168" s="3"/>
      <c r="G168" s="3"/>
      <c r="H168" s="3"/>
      <c r="K168" s="3"/>
    </row>
    <row r="169">
      <c r="B169" s="396"/>
      <c r="C169" s="396"/>
      <c r="D169" s="396"/>
      <c r="E169" s="397"/>
      <c r="F169" s="3"/>
      <c r="G169" s="3"/>
      <c r="H169" s="3"/>
      <c r="K169" s="3"/>
    </row>
    <row r="170">
      <c r="B170" s="396"/>
      <c r="C170" s="396"/>
      <c r="D170" s="396"/>
      <c r="E170" s="397"/>
      <c r="F170" s="3"/>
      <c r="G170" s="3"/>
      <c r="H170" s="3"/>
      <c r="K170" s="3"/>
    </row>
    <row r="171">
      <c r="B171" s="396"/>
      <c r="C171" s="396"/>
      <c r="D171" s="396"/>
      <c r="E171" s="397"/>
      <c r="F171" s="3"/>
      <c r="G171" s="3"/>
      <c r="H171" s="3"/>
      <c r="K171" s="3"/>
    </row>
    <row r="172">
      <c r="B172" s="396"/>
      <c r="C172" s="396"/>
      <c r="D172" s="396"/>
      <c r="E172" s="397"/>
      <c r="F172" s="3"/>
      <c r="G172" s="3"/>
      <c r="H172" s="3"/>
      <c r="K172" s="3"/>
    </row>
    <row r="173">
      <c r="B173" s="396"/>
      <c r="C173" s="396"/>
      <c r="D173" s="396"/>
      <c r="E173" s="397"/>
      <c r="F173" s="3"/>
      <c r="G173" s="3"/>
      <c r="H173" s="3"/>
      <c r="K173" s="3"/>
    </row>
    <row r="174">
      <c r="B174" s="396"/>
      <c r="C174" s="396"/>
      <c r="D174" s="396"/>
      <c r="E174" s="397"/>
      <c r="F174" s="3"/>
      <c r="G174" s="3"/>
      <c r="H174" s="3"/>
      <c r="K174" s="3"/>
    </row>
    <row r="175">
      <c r="B175" s="396"/>
      <c r="C175" s="396"/>
      <c r="D175" s="396"/>
      <c r="E175" s="397"/>
      <c r="F175" s="3"/>
      <c r="G175" s="3"/>
      <c r="H175" s="3"/>
      <c r="K175" s="3"/>
    </row>
    <row r="176">
      <c r="B176" s="396"/>
      <c r="C176" s="396"/>
      <c r="D176" s="396"/>
      <c r="E176" s="397"/>
      <c r="F176" s="3"/>
      <c r="G176" s="3"/>
      <c r="H176" s="3"/>
      <c r="K176" s="3"/>
    </row>
    <row r="177">
      <c r="B177" s="396"/>
      <c r="C177" s="396"/>
      <c r="D177" s="396"/>
      <c r="E177" s="397"/>
      <c r="F177" s="3"/>
      <c r="G177" s="3"/>
      <c r="H177" s="3"/>
      <c r="K177" s="3"/>
    </row>
    <row r="178">
      <c r="B178" s="396"/>
      <c r="C178" s="396"/>
      <c r="D178" s="396"/>
      <c r="E178" s="397"/>
      <c r="F178" s="3"/>
      <c r="G178" s="3"/>
      <c r="H178" s="3"/>
      <c r="K178" s="3"/>
    </row>
    <row r="179">
      <c r="B179" s="396"/>
      <c r="C179" s="396"/>
      <c r="D179" s="396"/>
      <c r="E179" s="397"/>
      <c r="F179" s="3"/>
      <c r="G179" s="3"/>
      <c r="H179" s="3"/>
      <c r="K179" s="3"/>
    </row>
    <row r="180">
      <c r="B180" s="396"/>
      <c r="C180" s="396"/>
      <c r="D180" s="396"/>
      <c r="E180" s="397"/>
      <c r="F180" s="3"/>
      <c r="G180" s="3"/>
      <c r="H180" s="3"/>
      <c r="K180" s="3"/>
    </row>
    <row r="181">
      <c r="B181" s="396"/>
      <c r="C181" s="396"/>
      <c r="D181" s="396"/>
      <c r="E181" s="397"/>
      <c r="F181" s="3"/>
      <c r="G181" s="3"/>
      <c r="H181" s="3"/>
      <c r="K181" s="3"/>
    </row>
    <row r="182">
      <c r="B182" s="396"/>
      <c r="C182" s="396"/>
      <c r="D182" s="396"/>
      <c r="E182" s="397"/>
      <c r="F182" s="3"/>
      <c r="G182" s="3"/>
      <c r="H182" s="3"/>
      <c r="K182" s="3"/>
    </row>
    <row r="183">
      <c r="B183" s="396"/>
      <c r="C183" s="396"/>
      <c r="D183" s="396"/>
      <c r="E183" s="397"/>
      <c r="F183" s="3"/>
      <c r="G183" s="3"/>
      <c r="H183" s="3"/>
      <c r="K183" s="3"/>
    </row>
    <row r="184">
      <c r="B184" s="396"/>
      <c r="C184" s="396"/>
      <c r="D184" s="396"/>
      <c r="E184" s="397"/>
      <c r="F184" s="3"/>
      <c r="G184" s="3"/>
      <c r="H184" s="3"/>
      <c r="K184" s="3"/>
    </row>
    <row r="185">
      <c r="B185" s="396"/>
      <c r="C185" s="396"/>
      <c r="D185" s="396"/>
      <c r="E185" s="397"/>
      <c r="F185" s="3"/>
      <c r="G185" s="3"/>
      <c r="H185" s="3"/>
      <c r="K185" s="3"/>
    </row>
    <row r="186">
      <c r="B186" s="396"/>
      <c r="C186" s="396"/>
      <c r="D186" s="396"/>
      <c r="E186" s="397"/>
      <c r="F186" s="3"/>
      <c r="G186" s="3"/>
      <c r="H186" s="3"/>
      <c r="K186" s="3"/>
    </row>
    <row r="187">
      <c r="B187" s="396"/>
      <c r="C187" s="396"/>
      <c r="D187" s="396"/>
      <c r="E187" s="397"/>
      <c r="F187" s="3"/>
      <c r="G187" s="3"/>
      <c r="H187" s="3"/>
      <c r="K187" s="3"/>
    </row>
    <row r="188">
      <c r="B188" s="396"/>
      <c r="C188" s="396"/>
      <c r="D188" s="396"/>
      <c r="E188" s="397"/>
      <c r="F188" s="3"/>
      <c r="G188" s="3"/>
      <c r="H188" s="3"/>
      <c r="K188" s="3"/>
    </row>
    <row r="189">
      <c r="B189" s="396"/>
      <c r="C189" s="396"/>
      <c r="D189" s="396"/>
      <c r="E189" s="397"/>
      <c r="F189" s="3"/>
      <c r="G189" s="3"/>
      <c r="H189" s="3"/>
      <c r="K189" s="3"/>
    </row>
    <row r="190">
      <c r="B190" s="396"/>
      <c r="C190" s="396"/>
      <c r="D190" s="396"/>
      <c r="E190" s="397"/>
      <c r="F190" s="3"/>
      <c r="G190" s="3"/>
      <c r="H190" s="3"/>
      <c r="K190" s="3"/>
    </row>
    <row r="191">
      <c r="B191" s="396"/>
      <c r="C191" s="396"/>
      <c r="D191" s="396"/>
      <c r="E191" s="397"/>
      <c r="F191" s="3"/>
      <c r="G191" s="3"/>
      <c r="H191" s="3"/>
      <c r="K191" s="3"/>
    </row>
    <row r="192">
      <c r="B192" s="396"/>
      <c r="C192" s="396"/>
      <c r="D192" s="396"/>
      <c r="E192" s="397"/>
      <c r="F192" s="3"/>
      <c r="G192" s="3"/>
      <c r="H192" s="3"/>
      <c r="K192" s="3"/>
    </row>
    <row r="193">
      <c r="B193" s="396"/>
      <c r="C193" s="396"/>
      <c r="D193" s="396"/>
      <c r="E193" s="397"/>
      <c r="F193" s="3"/>
      <c r="G193" s="3"/>
      <c r="H193" s="3"/>
      <c r="K193" s="3"/>
    </row>
    <row r="194">
      <c r="B194" s="396"/>
      <c r="C194" s="396"/>
      <c r="D194" s="396"/>
      <c r="E194" s="397"/>
      <c r="F194" s="3"/>
      <c r="G194" s="3"/>
      <c r="H194" s="3"/>
      <c r="K194" s="3"/>
    </row>
    <row r="195">
      <c r="B195" s="396"/>
      <c r="C195" s="396"/>
      <c r="D195" s="396"/>
      <c r="E195" s="397"/>
      <c r="F195" s="3"/>
      <c r="G195" s="3"/>
      <c r="H195" s="3"/>
      <c r="K195" s="3"/>
    </row>
    <row r="196">
      <c r="B196" s="396"/>
      <c r="C196" s="396"/>
      <c r="D196" s="396"/>
      <c r="E196" s="397"/>
      <c r="F196" s="3"/>
      <c r="G196" s="3"/>
      <c r="H196" s="3"/>
      <c r="K196" s="3"/>
    </row>
    <row r="197">
      <c r="B197" s="396"/>
      <c r="C197" s="396"/>
      <c r="D197" s="396"/>
      <c r="E197" s="397"/>
      <c r="F197" s="3"/>
      <c r="G197" s="3"/>
      <c r="H197" s="3"/>
      <c r="K197" s="3"/>
    </row>
    <row r="198">
      <c r="B198" s="396"/>
      <c r="C198" s="396"/>
      <c r="D198" s="396"/>
      <c r="E198" s="397"/>
      <c r="F198" s="3"/>
      <c r="G198" s="3"/>
      <c r="H198" s="3"/>
      <c r="K198" s="3"/>
    </row>
    <row r="199">
      <c r="B199" s="396"/>
      <c r="C199" s="396"/>
      <c r="D199" s="396"/>
      <c r="E199" s="397"/>
      <c r="F199" s="3"/>
      <c r="G199" s="3"/>
      <c r="H199" s="3"/>
      <c r="K199" s="3"/>
    </row>
    <row r="200">
      <c r="B200" s="396"/>
      <c r="C200" s="396"/>
      <c r="D200" s="396"/>
      <c r="E200" s="397"/>
      <c r="F200" s="3"/>
      <c r="G200" s="3"/>
      <c r="H200" s="3"/>
      <c r="K200" s="3"/>
    </row>
    <row r="201">
      <c r="B201" s="396"/>
      <c r="C201" s="396"/>
      <c r="D201" s="396"/>
      <c r="E201" s="397"/>
      <c r="F201" s="3"/>
      <c r="G201" s="3"/>
      <c r="H201" s="3"/>
      <c r="K201" s="3"/>
    </row>
    <row r="202">
      <c r="B202" s="396"/>
      <c r="C202" s="396"/>
      <c r="D202" s="396"/>
      <c r="E202" s="397"/>
      <c r="F202" s="3"/>
      <c r="G202" s="3"/>
      <c r="H202" s="3"/>
      <c r="K202" s="3"/>
    </row>
    <row r="203">
      <c r="B203" s="396"/>
      <c r="C203" s="396"/>
      <c r="D203" s="396"/>
      <c r="E203" s="397"/>
      <c r="F203" s="3"/>
      <c r="G203" s="3"/>
      <c r="H203" s="3"/>
      <c r="K203" s="3"/>
    </row>
    <row r="204">
      <c r="B204" s="396"/>
      <c r="C204" s="396"/>
      <c r="D204" s="396"/>
      <c r="E204" s="397"/>
      <c r="F204" s="3"/>
      <c r="G204" s="3"/>
      <c r="H204" s="3"/>
      <c r="K204" s="3"/>
    </row>
    <row r="205">
      <c r="B205" s="396"/>
      <c r="C205" s="396"/>
      <c r="D205" s="396"/>
      <c r="E205" s="397"/>
      <c r="F205" s="3"/>
      <c r="G205" s="3"/>
      <c r="H205" s="3"/>
      <c r="K205" s="3"/>
    </row>
    <row r="206">
      <c r="B206" s="396"/>
      <c r="C206" s="396"/>
      <c r="D206" s="396"/>
      <c r="E206" s="397"/>
      <c r="F206" s="3"/>
      <c r="G206" s="3"/>
      <c r="H206" s="3"/>
      <c r="K206" s="3"/>
    </row>
    <row r="207">
      <c r="B207" s="396"/>
      <c r="C207" s="396"/>
      <c r="D207" s="396"/>
      <c r="E207" s="397"/>
      <c r="F207" s="3"/>
      <c r="G207" s="3"/>
      <c r="H207" s="3"/>
      <c r="K207" s="3"/>
    </row>
    <row r="208">
      <c r="B208" s="396"/>
      <c r="C208" s="396"/>
      <c r="D208" s="396"/>
      <c r="E208" s="397"/>
      <c r="F208" s="3"/>
      <c r="G208" s="3"/>
      <c r="H208" s="3"/>
      <c r="K208" s="3"/>
    </row>
    <row r="209">
      <c r="B209" s="396"/>
      <c r="C209" s="396"/>
      <c r="D209" s="396"/>
      <c r="E209" s="397"/>
      <c r="F209" s="3"/>
      <c r="G209" s="3"/>
      <c r="H209" s="3"/>
      <c r="K209" s="3"/>
    </row>
    <row r="210">
      <c r="B210" s="396"/>
      <c r="C210" s="396"/>
      <c r="D210" s="396"/>
      <c r="E210" s="397"/>
      <c r="F210" s="3"/>
      <c r="G210" s="3"/>
      <c r="H210" s="3"/>
      <c r="K210" s="3"/>
    </row>
    <row r="211">
      <c r="B211" s="396"/>
      <c r="C211" s="396"/>
      <c r="D211" s="396"/>
      <c r="E211" s="397"/>
      <c r="F211" s="3"/>
      <c r="G211" s="3"/>
      <c r="H211" s="3"/>
      <c r="K211" s="3"/>
    </row>
    <row r="212">
      <c r="B212" s="396"/>
      <c r="C212" s="396"/>
      <c r="D212" s="396"/>
      <c r="E212" s="397"/>
      <c r="F212" s="3"/>
      <c r="G212" s="3"/>
      <c r="H212" s="3"/>
      <c r="K212" s="3"/>
    </row>
    <row r="213">
      <c r="B213" s="396"/>
      <c r="C213" s="396"/>
      <c r="D213" s="396"/>
      <c r="E213" s="397"/>
      <c r="F213" s="3"/>
      <c r="G213" s="3"/>
      <c r="H213" s="3"/>
      <c r="K213" s="3"/>
    </row>
    <row r="214">
      <c r="B214" s="396"/>
      <c r="C214" s="396"/>
      <c r="D214" s="396"/>
      <c r="E214" s="397"/>
      <c r="F214" s="3"/>
      <c r="G214" s="3"/>
      <c r="H214" s="3"/>
      <c r="K214" s="3"/>
    </row>
    <row r="215">
      <c r="B215" s="396"/>
      <c r="C215" s="396"/>
      <c r="D215" s="396"/>
      <c r="E215" s="397"/>
      <c r="F215" s="3"/>
      <c r="G215" s="3"/>
      <c r="H215" s="3"/>
      <c r="K215" s="3"/>
    </row>
    <row r="216">
      <c r="B216" s="396"/>
      <c r="C216" s="396"/>
      <c r="D216" s="396"/>
      <c r="E216" s="397"/>
      <c r="F216" s="3"/>
      <c r="G216" s="3"/>
      <c r="H216" s="3"/>
      <c r="K216" s="3"/>
    </row>
    <row r="217">
      <c r="B217" s="396"/>
      <c r="C217" s="396"/>
      <c r="D217" s="396"/>
      <c r="E217" s="397"/>
      <c r="F217" s="3"/>
      <c r="G217" s="3"/>
      <c r="H217" s="3"/>
      <c r="K217" s="3"/>
    </row>
    <row r="218">
      <c r="B218" s="396"/>
      <c r="C218" s="396"/>
      <c r="D218" s="396"/>
      <c r="E218" s="397"/>
      <c r="F218" s="3"/>
      <c r="G218" s="3"/>
      <c r="H218" s="3"/>
      <c r="K218" s="3"/>
    </row>
    <row r="219">
      <c r="B219" s="396"/>
      <c r="C219" s="396"/>
      <c r="D219" s="396"/>
      <c r="E219" s="397"/>
      <c r="F219" s="3"/>
      <c r="G219" s="3"/>
      <c r="H219" s="3"/>
      <c r="K219" s="3"/>
    </row>
    <row r="220">
      <c r="B220" s="396"/>
      <c r="C220" s="396"/>
      <c r="D220" s="396"/>
      <c r="E220" s="397"/>
      <c r="F220" s="3"/>
      <c r="G220" s="3"/>
      <c r="H220" s="3"/>
      <c r="K220" s="3"/>
    </row>
    <row r="221">
      <c r="B221" s="396"/>
      <c r="C221" s="396"/>
      <c r="D221" s="396"/>
      <c r="E221" s="397"/>
      <c r="F221" s="3"/>
      <c r="G221" s="3"/>
      <c r="H221" s="3"/>
      <c r="K221" s="3"/>
    </row>
    <row r="222">
      <c r="B222" s="396"/>
      <c r="C222" s="396"/>
      <c r="D222" s="396"/>
      <c r="E222" s="397"/>
      <c r="F222" s="3"/>
      <c r="G222" s="3"/>
      <c r="H222" s="3"/>
      <c r="K222" s="3"/>
    </row>
    <row r="223">
      <c r="B223" s="396"/>
      <c r="C223" s="396"/>
      <c r="D223" s="396"/>
      <c r="E223" s="397"/>
      <c r="F223" s="3"/>
      <c r="G223" s="3"/>
      <c r="H223" s="3"/>
      <c r="K223" s="3"/>
    </row>
    <row r="224">
      <c r="B224" s="396"/>
      <c r="C224" s="396"/>
      <c r="D224" s="396"/>
      <c r="E224" s="397"/>
      <c r="F224" s="3"/>
      <c r="G224" s="3"/>
      <c r="H224" s="3"/>
      <c r="K224" s="3"/>
    </row>
    <row r="225">
      <c r="B225" s="396"/>
      <c r="C225" s="396"/>
      <c r="D225" s="396"/>
      <c r="E225" s="397"/>
      <c r="F225" s="3"/>
      <c r="G225" s="3"/>
      <c r="H225" s="3"/>
      <c r="K225" s="3"/>
    </row>
    <row r="226">
      <c r="B226" s="396"/>
      <c r="C226" s="396"/>
      <c r="D226" s="396"/>
      <c r="E226" s="397"/>
      <c r="F226" s="3"/>
      <c r="G226" s="3"/>
      <c r="H226" s="3"/>
      <c r="K226" s="3"/>
    </row>
    <row r="227">
      <c r="B227" s="396"/>
      <c r="C227" s="396"/>
      <c r="D227" s="396"/>
      <c r="E227" s="397"/>
      <c r="F227" s="3"/>
      <c r="G227" s="3"/>
      <c r="H227" s="3"/>
      <c r="K227" s="3"/>
    </row>
    <row r="228">
      <c r="B228" s="396"/>
      <c r="C228" s="396"/>
      <c r="D228" s="396"/>
      <c r="E228" s="397"/>
      <c r="F228" s="3"/>
      <c r="G228" s="3"/>
      <c r="H228" s="3"/>
      <c r="K228" s="3"/>
    </row>
    <row r="229">
      <c r="B229" s="396"/>
      <c r="C229" s="396"/>
      <c r="D229" s="396"/>
      <c r="E229" s="397"/>
      <c r="F229" s="3"/>
      <c r="G229" s="3"/>
      <c r="H229" s="3"/>
      <c r="K229" s="3"/>
    </row>
    <row r="230">
      <c r="B230" s="396"/>
      <c r="C230" s="396"/>
      <c r="D230" s="396"/>
      <c r="E230" s="397"/>
      <c r="F230" s="3"/>
      <c r="G230" s="3"/>
      <c r="H230" s="3"/>
      <c r="K230" s="3"/>
    </row>
    <row r="231">
      <c r="B231" s="396"/>
      <c r="C231" s="396"/>
      <c r="D231" s="396"/>
      <c r="E231" s="397"/>
      <c r="F231" s="3"/>
      <c r="G231" s="3"/>
      <c r="H231" s="3"/>
      <c r="K231" s="3"/>
    </row>
    <row r="232">
      <c r="B232" s="396"/>
      <c r="C232" s="396"/>
      <c r="D232" s="396"/>
      <c r="E232" s="397"/>
      <c r="F232" s="3"/>
      <c r="G232" s="3"/>
      <c r="H232" s="3"/>
      <c r="K232" s="3"/>
    </row>
    <row r="233">
      <c r="B233" s="396"/>
      <c r="C233" s="396"/>
      <c r="D233" s="396"/>
      <c r="E233" s="397"/>
      <c r="F233" s="3"/>
      <c r="G233" s="3"/>
      <c r="H233" s="3"/>
      <c r="K233" s="3"/>
    </row>
    <row r="234">
      <c r="B234" s="396"/>
      <c r="C234" s="396"/>
      <c r="D234" s="396"/>
      <c r="E234" s="397"/>
      <c r="F234" s="3"/>
      <c r="G234" s="3"/>
      <c r="H234" s="3"/>
      <c r="K234" s="3"/>
    </row>
    <row r="235">
      <c r="B235" s="396"/>
      <c r="C235" s="396"/>
      <c r="D235" s="396"/>
      <c r="E235" s="397"/>
      <c r="F235" s="3"/>
      <c r="G235" s="3"/>
      <c r="H235" s="3"/>
      <c r="K235" s="3"/>
    </row>
    <row r="236">
      <c r="B236" s="396"/>
      <c r="C236" s="396"/>
      <c r="D236" s="396"/>
      <c r="E236" s="397"/>
      <c r="F236" s="3"/>
      <c r="G236" s="3"/>
      <c r="H236" s="3"/>
      <c r="K236" s="3"/>
    </row>
    <row r="237">
      <c r="B237" s="396"/>
      <c r="C237" s="396"/>
      <c r="D237" s="396"/>
      <c r="E237" s="397"/>
      <c r="F237" s="3"/>
      <c r="G237" s="3"/>
      <c r="H237" s="3"/>
      <c r="K237" s="3"/>
    </row>
    <row r="238">
      <c r="B238" s="396"/>
      <c r="C238" s="396"/>
      <c r="D238" s="396"/>
      <c r="E238" s="397"/>
      <c r="F238" s="3"/>
      <c r="G238" s="3"/>
      <c r="H238" s="3"/>
      <c r="K238" s="3"/>
    </row>
    <row r="239">
      <c r="B239" s="396"/>
      <c r="C239" s="396"/>
      <c r="D239" s="396"/>
      <c r="E239" s="397"/>
      <c r="F239" s="3"/>
      <c r="G239" s="3"/>
      <c r="H239" s="3"/>
      <c r="K239" s="3"/>
    </row>
    <row r="240">
      <c r="B240" s="396"/>
      <c r="C240" s="396"/>
      <c r="D240" s="396"/>
      <c r="E240" s="397"/>
      <c r="F240" s="3"/>
      <c r="G240" s="3"/>
      <c r="H240" s="3"/>
      <c r="K240" s="3"/>
    </row>
    <row r="241">
      <c r="B241" s="396"/>
      <c r="C241" s="396"/>
      <c r="D241" s="396"/>
      <c r="E241" s="397"/>
      <c r="F241" s="3"/>
      <c r="G241" s="3"/>
      <c r="H241" s="3"/>
      <c r="K241" s="3"/>
    </row>
    <row r="242">
      <c r="B242" s="396"/>
      <c r="C242" s="396"/>
      <c r="D242" s="396"/>
      <c r="E242" s="397"/>
      <c r="F242" s="3"/>
      <c r="G242" s="3"/>
      <c r="H242" s="3"/>
      <c r="K242" s="3"/>
    </row>
    <row r="243">
      <c r="B243" s="396"/>
      <c r="C243" s="396"/>
      <c r="D243" s="396"/>
      <c r="E243" s="397"/>
      <c r="F243" s="3"/>
      <c r="G243" s="3"/>
      <c r="H243" s="3"/>
      <c r="K243" s="3"/>
    </row>
    <row r="244">
      <c r="B244" s="396"/>
      <c r="C244" s="396"/>
      <c r="D244" s="396"/>
      <c r="E244" s="397"/>
      <c r="F244" s="3"/>
      <c r="G244" s="3"/>
      <c r="H244" s="3"/>
      <c r="K244" s="3"/>
    </row>
    <row r="245">
      <c r="B245" s="396"/>
      <c r="C245" s="396"/>
      <c r="D245" s="396"/>
      <c r="E245" s="397"/>
      <c r="F245" s="3"/>
      <c r="G245" s="3"/>
      <c r="H245" s="3"/>
      <c r="K245" s="3"/>
    </row>
    <row r="246">
      <c r="B246" s="396"/>
      <c r="C246" s="396"/>
      <c r="D246" s="396"/>
      <c r="E246" s="397"/>
      <c r="F246" s="3"/>
      <c r="G246" s="3"/>
      <c r="H246" s="3"/>
      <c r="K246" s="3"/>
    </row>
    <row r="247">
      <c r="B247" s="396"/>
      <c r="C247" s="396"/>
      <c r="D247" s="396"/>
      <c r="E247" s="397"/>
      <c r="F247" s="3"/>
      <c r="G247" s="3"/>
      <c r="H247" s="3"/>
      <c r="K247" s="3"/>
    </row>
    <row r="248">
      <c r="B248" s="396"/>
      <c r="C248" s="396"/>
      <c r="D248" s="396"/>
      <c r="E248" s="397"/>
      <c r="F248" s="3"/>
      <c r="G248" s="3"/>
      <c r="H248" s="3"/>
      <c r="K248" s="3"/>
    </row>
    <row r="249">
      <c r="B249" s="396"/>
      <c r="C249" s="396"/>
      <c r="D249" s="396"/>
      <c r="E249" s="397"/>
      <c r="F249" s="3"/>
      <c r="G249" s="3"/>
      <c r="H249" s="3"/>
      <c r="K249" s="3"/>
    </row>
    <row r="250">
      <c r="B250" s="396"/>
      <c r="C250" s="396"/>
      <c r="D250" s="396"/>
      <c r="E250" s="397"/>
      <c r="F250" s="3"/>
      <c r="G250" s="3"/>
      <c r="H250" s="3"/>
      <c r="K250" s="3"/>
    </row>
    <row r="251">
      <c r="B251" s="396"/>
      <c r="C251" s="396"/>
      <c r="D251" s="396"/>
      <c r="E251" s="397"/>
      <c r="F251" s="3"/>
      <c r="G251" s="3"/>
      <c r="H251" s="3"/>
      <c r="K251" s="3"/>
    </row>
    <row r="252">
      <c r="B252" s="396"/>
      <c r="C252" s="396"/>
      <c r="D252" s="396"/>
      <c r="E252" s="397"/>
      <c r="F252" s="3"/>
      <c r="G252" s="3"/>
      <c r="H252" s="3"/>
      <c r="K252" s="3"/>
    </row>
    <row r="253">
      <c r="B253" s="396"/>
      <c r="C253" s="396"/>
      <c r="D253" s="396"/>
      <c r="E253" s="397"/>
      <c r="F253" s="3"/>
      <c r="G253" s="3"/>
      <c r="H253" s="3"/>
      <c r="K253" s="3"/>
    </row>
    <row r="254">
      <c r="B254" s="396"/>
      <c r="C254" s="396"/>
      <c r="D254" s="396"/>
      <c r="E254" s="397"/>
      <c r="F254" s="3"/>
      <c r="G254" s="3"/>
      <c r="H254" s="3"/>
      <c r="K254" s="3"/>
    </row>
    <row r="255">
      <c r="B255" s="396"/>
      <c r="C255" s="396"/>
      <c r="D255" s="396"/>
      <c r="E255" s="397"/>
      <c r="F255" s="3"/>
      <c r="G255" s="3"/>
      <c r="H255" s="3"/>
      <c r="K255" s="3"/>
    </row>
    <row r="256">
      <c r="B256" s="396"/>
      <c r="C256" s="396"/>
      <c r="D256" s="396"/>
      <c r="E256" s="397"/>
      <c r="F256" s="3"/>
      <c r="G256" s="3"/>
      <c r="H256" s="3"/>
      <c r="K256" s="3"/>
    </row>
    <row r="257">
      <c r="B257" s="396"/>
      <c r="C257" s="396"/>
      <c r="D257" s="396"/>
      <c r="E257" s="397"/>
      <c r="F257" s="3"/>
      <c r="G257" s="3"/>
      <c r="H257" s="3"/>
      <c r="K257" s="3"/>
    </row>
    <row r="258">
      <c r="B258" s="396"/>
      <c r="C258" s="396"/>
      <c r="D258" s="396"/>
      <c r="E258" s="397"/>
      <c r="F258" s="3"/>
      <c r="G258" s="3"/>
      <c r="H258" s="3"/>
      <c r="K258" s="3"/>
    </row>
    <row r="259">
      <c r="B259" s="396"/>
      <c r="C259" s="396"/>
      <c r="D259" s="396"/>
      <c r="E259" s="397"/>
      <c r="F259" s="3"/>
      <c r="G259" s="3"/>
      <c r="H259" s="3"/>
      <c r="K259" s="3"/>
    </row>
    <row r="260">
      <c r="B260" s="396"/>
      <c r="C260" s="396"/>
      <c r="D260" s="396"/>
      <c r="E260" s="397"/>
      <c r="F260" s="3"/>
      <c r="G260" s="3"/>
      <c r="H260" s="3"/>
      <c r="K260" s="3"/>
    </row>
    <row r="261">
      <c r="B261" s="396"/>
      <c r="C261" s="396"/>
      <c r="D261" s="396"/>
      <c r="E261" s="397"/>
      <c r="F261" s="3"/>
      <c r="G261" s="3"/>
      <c r="H261" s="3"/>
      <c r="K261" s="3"/>
    </row>
    <row r="262">
      <c r="B262" s="396"/>
      <c r="C262" s="396"/>
      <c r="D262" s="396"/>
      <c r="E262" s="397"/>
      <c r="F262" s="3"/>
      <c r="G262" s="3"/>
      <c r="H262" s="3"/>
      <c r="K262" s="3"/>
    </row>
    <row r="263">
      <c r="B263" s="396"/>
      <c r="C263" s="396"/>
      <c r="D263" s="396"/>
      <c r="E263" s="397"/>
      <c r="F263" s="3"/>
      <c r="G263" s="3"/>
      <c r="H263" s="3"/>
      <c r="K263" s="3"/>
    </row>
    <row r="264">
      <c r="B264" s="396"/>
      <c r="C264" s="396"/>
      <c r="D264" s="396"/>
      <c r="E264" s="397"/>
      <c r="F264" s="3"/>
      <c r="G264" s="3"/>
      <c r="H264" s="3"/>
      <c r="K264" s="3"/>
    </row>
    <row r="265">
      <c r="B265" s="396"/>
      <c r="C265" s="396"/>
      <c r="D265" s="396"/>
      <c r="E265" s="397"/>
      <c r="F265" s="3"/>
      <c r="G265" s="3"/>
      <c r="H265" s="3"/>
      <c r="K265" s="3"/>
    </row>
    <row r="266">
      <c r="B266" s="396"/>
      <c r="C266" s="396"/>
      <c r="D266" s="396"/>
      <c r="E266" s="397"/>
      <c r="F266" s="3"/>
      <c r="G266" s="3"/>
      <c r="H266" s="3"/>
      <c r="K266" s="3"/>
    </row>
    <row r="267">
      <c r="B267" s="396"/>
      <c r="C267" s="396"/>
      <c r="D267" s="396"/>
      <c r="E267" s="397"/>
      <c r="F267" s="3"/>
      <c r="G267" s="3"/>
      <c r="H267" s="3"/>
      <c r="K267" s="3"/>
    </row>
    <row r="268">
      <c r="B268" s="396"/>
      <c r="C268" s="396"/>
      <c r="D268" s="396"/>
      <c r="E268" s="397"/>
      <c r="F268" s="3"/>
      <c r="G268" s="3"/>
      <c r="H268" s="3"/>
      <c r="K268" s="3"/>
    </row>
    <row r="269">
      <c r="B269" s="396"/>
      <c r="C269" s="396"/>
      <c r="D269" s="396"/>
      <c r="E269" s="397"/>
      <c r="F269" s="3"/>
      <c r="G269" s="3"/>
      <c r="H269" s="3"/>
      <c r="K269" s="3"/>
    </row>
    <row r="270">
      <c r="B270" s="396"/>
      <c r="C270" s="396"/>
      <c r="D270" s="396"/>
      <c r="E270" s="397"/>
      <c r="F270" s="3"/>
      <c r="G270" s="3"/>
      <c r="H270" s="3"/>
      <c r="K270" s="3"/>
    </row>
    <row r="271">
      <c r="B271" s="396"/>
      <c r="C271" s="396"/>
      <c r="D271" s="396"/>
      <c r="E271" s="397"/>
      <c r="F271" s="3"/>
      <c r="G271" s="3"/>
      <c r="H271" s="3"/>
      <c r="K271" s="3"/>
    </row>
    <row r="272">
      <c r="B272" s="396"/>
      <c r="C272" s="396"/>
      <c r="D272" s="396"/>
      <c r="E272" s="397"/>
      <c r="F272" s="3"/>
      <c r="G272" s="3"/>
      <c r="H272" s="3"/>
      <c r="K272" s="3"/>
    </row>
    <row r="273">
      <c r="B273" s="396"/>
      <c r="C273" s="396"/>
      <c r="D273" s="396"/>
      <c r="E273" s="397"/>
      <c r="F273" s="3"/>
      <c r="G273" s="3"/>
      <c r="H273" s="3"/>
      <c r="K273" s="3"/>
    </row>
    <row r="274">
      <c r="B274" s="396"/>
      <c r="C274" s="396"/>
      <c r="D274" s="396"/>
      <c r="E274" s="397"/>
      <c r="F274" s="3"/>
      <c r="G274" s="3"/>
      <c r="H274" s="3"/>
      <c r="K274" s="3"/>
    </row>
    <row r="275">
      <c r="B275" s="396"/>
      <c r="C275" s="396"/>
      <c r="D275" s="396"/>
      <c r="E275" s="397"/>
      <c r="F275" s="3"/>
      <c r="G275" s="3"/>
      <c r="H275" s="3"/>
      <c r="K275" s="3"/>
    </row>
    <row r="276">
      <c r="B276" s="396"/>
      <c r="C276" s="396"/>
      <c r="D276" s="396"/>
      <c r="E276" s="397"/>
      <c r="F276" s="3"/>
      <c r="G276" s="3"/>
      <c r="H276" s="3"/>
      <c r="K276" s="3"/>
    </row>
    <row r="277">
      <c r="B277" s="396"/>
      <c r="C277" s="396"/>
      <c r="D277" s="396"/>
      <c r="E277" s="397"/>
      <c r="F277" s="3"/>
      <c r="G277" s="3"/>
      <c r="H277" s="3"/>
      <c r="K277" s="3"/>
    </row>
    <row r="278">
      <c r="B278" s="396"/>
      <c r="C278" s="396"/>
      <c r="D278" s="396"/>
      <c r="E278" s="397"/>
      <c r="F278" s="3"/>
      <c r="G278" s="3"/>
      <c r="H278" s="3"/>
      <c r="K278" s="3"/>
    </row>
    <row r="279">
      <c r="B279" s="396"/>
      <c r="C279" s="396"/>
      <c r="D279" s="396"/>
      <c r="E279" s="397"/>
      <c r="F279" s="3"/>
      <c r="G279" s="3"/>
      <c r="H279" s="3"/>
      <c r="K279" s="3"/>
    </row>
    <row r="280">
      <c r="B280" s="396"/>
      <c r="C280" s="396"/>
      <c r="D280" s="396"/>
      <c r="E280" s="397"/>
      <c r="F280" s="3"/>
      <c r="G280" s="3"/>
      <c r="H280" s="3"/>
      <c r="K280" s="3"/>
    </row>
    <row r="281">
      <c r="B281" s="396"/>
      <c r="C281" s="396"/>
      <c r="D281" s="396"/>
      <c r="E281" s="397"/>
      <c r="F281" s="3"/>
      <c r="G281" s="3"/>
      <c r="H281" s="3"/>
      <c r="K281" s="3"/>
    </row>
    <row r="282">
      <c r="B282" s="396"/>
      <c r="C282" s="396"/>
      <c r="D282" s="396"/>
      <c r="E282" s="397"/>
      <c r="F282" s="3"/>
      <c r="G282" s="3"/>
      <c r="H282" s="3"/>
      <c r="K282" s="3"/>
    </row>
    <row r="283">
      <c r="B283" s="396"/>
      <c r="C283" s="396"/>
      <c r="D283" s="396"/>
      <c r="E283" s="397"/>
      <c r="F283" s="3"/>
      <c r="G283" s="3"/>
      <c r="H283" s="3"/>
      <c r="K283" s="3"/>
    </row>
    <row r="284">
      <c r="B284" s="396"/>
      <c r="C284" s="396"/>
      <c r="D284" s="396"/>
      <c r="E284" s="397"/>
      <c r="F284" s="3"/>
      <c r="G284" s="3"/>
      <c r="H284" s="3"/>
      <c r="K284" s="3"/>
    </row>
    <row r="285">
      <c r="B285" s="396"/>
      <c r="C285" s="396"/>
      <c r="D285" s="396"/>
      <c r="E285" s="397"/>
      <c r="F285" s="3"/>
      <c r="G285" s="3"/>
      <c r="H285" s="3"/>
      <c r="K285" s="3"/>
    </row>
    <row r="286">
      <c r="B286" s="396"/>
      <c r="C286" s="396"/>
      <c r="D286" s="396"/>
      <c r="E286" s="397"/>
      <c r="F286" s="3"/>
      <c r="G286" s="3"/>
      <c r="H286" s="3"/>
      <c r="K286" s="3"/>
    </row>
    <row r="287">
      <c r="B287" s="396"/>
      <c r="C287" s="396"/>
      <c r="D287" s="396"/>
      <c r="E287" s="397"/>
      <c r="F287" s="3"/>
      <c r="G287" s="3"/>
      <c r="H287" s="3"/>
      <c r="K287" s="3"/>
    </row>
    <row r="288">
      <c r="B288" s="396"/>
      <c r="C288" s="396"/>
      <c r="D288" s="396"/>
      <c r="E288" s="397"/>
      <c r="F288" s="3"/>
      <c r="G288" s="3"/>
      <c r="H288" s="3"/>
      <c r="K288" s="3"/>
    </row>
    <row r="289">
      <c r="B289" s="396"/>
      <c r="C289" s="396"/>
      <c r="D289" s="396"/>
      <c r="E289" s="397"/>
      <c r="F289" s="3"/>
      <c r="G289" s="3"/>
      <c r="H289" s="3"/>
      <c r="K289" s="3"/>
    </row>
    <row r="290">
      <c r="B290" s="396"/>
      <c r="C290" s="396"/>
      <c r="D290" s="396"/>
      <c r="E290" s="397"/>
      <c r="F290" s="3"/>
      <c r="G290" s="3"/>
      <c r="H290" s="3"/>
      <c r="K290" s="3"/>
    </row>
    <row r="291">
      <c r="B291" s="396"/>
      <c r="C291" s="396"/>
      <c r="D291" s="396"/>
      <c r="E291" s="397"/>
      <c r="F291" s="3"/>
      <c r="G291" s="3"/>
      <c r="H291" s="3"/>
      <c r="K291" s="3"/>
    </row>
    <row r="292">
      <c r="B292" s="396"/>
      <c r="C292" s="396"/>
      <c r="D292" s="396"/>
      <c r="E292" s="397"/>
      <c r="F292" s="3"/>
      <c r="G292" s="3"/>
      <c r="H292" s="3"/>
      <c r="K292" s="3"/>
    </row>
    <row r="293">
      <c r="B293" s="396"/>
      <c r="C293" s="396"/>
      <c r="D293" s="396"/>
      <c r="E293" s="397"/>
      <c r="F293" s="3"/>
      <c r="G293" s="3"/>
      <c r="H293" s="3"/>
      <c r="K293" s="3"/>
    </row>
    <row r="294">
      <c r="B294" s="396"/>
      <c r="C294" s="396"/>
      <c r="D294" s="396"/>
      <c r="E294" s="397"/>
      <c r="F294" s="3"/>
      <c r="G294" s="3"/>
      <c r="H294" s="3"/>
      <c r="K294" s="3"/>
    </row>
    <row r="295">
      <c r="B295" s="396"/>
      <c r="C295" s="396"/>
      <c r="D295" s="396"/>
      <c r="E295" s="397"/>
      <c r="F295" s="3"/>
      <c r="G295" s="3"/>
      <c r="H295" s="3"/>
      <c r="K295" s="3"/>
    </row>
    <row r="296">
      <c r="B296" s="396"/>
      <c r="C296" s="396"/>
      <c r="D296" s="396"/>
      <c r="E296" s="397"/>
      <c r="F296" s="3"/>
      <c r="G296" s="3"/>
      <c r="H296" s="3"/>
      <c r="K296" s="3"/>
    </row>
    <row r="297">
      <c r="B297" s="396"/>
      <c r="C297" s="396"/>
      <c r="D297" s="396"/>
      <c r="E297" s="397"/>
      <c r="F297" s="3"/>
      <c r="G297" s="3"/>
      <c r="H297" s="3"/>
      <c r="K297" s="3"/>
    </row>
    <row r="298">
      <c r="B298" s="396"/>
      <c r="C298" s="396"/>
      <c r="D298" s="396"/>
      <c r="E298" s="397"/>
      <c r="F298" s="3"/>
      <c r="G298" s="3"/>
      <c r="H298" s="3"/>
      <c r="K298" s="3"/>
    </row>
    <row r="299">
      <c r="B299" s="396"/>
      <c r="C299" s="396"/>
      <c r="D299" s="396"/>
      <c r="E299" s="397"/>
      <c r="F299" s="3"/>
      <c r="G299" s="3"/>
      <c r="H299" s="3"/>
      <c r="K299" s="3"/>
    </row>
    <row r="300">
      <c r="B300" s="396"/>
      <c r="C300" s="396"/>
      <c r="D300" s="396"/>
      <c r="E300" s="397"/>
      <c r="F300" s="3"/>
      <c r="G300" s="3"/>
      <c r="H300" s="3"/>
      <c r="K300" s="3"/>
    </row>
    <row r="301">
      <c r="B301" s="396"/>
      <c r="C301" s="396"/>
      <c r="D301" s="396"/>
      <c r="E301" s="397"/>
      <c r="F301" s="3"/>
      <c r="G301" s="3"/>
      <c r="H301" s="3"/>
      <c r="K301" s="3"/>
    </row>
    <row r="302">
      <c r="B302" s="396"/>
      <c r="C302" s="396"/>
      <c r="D302" s="396"/>
      <c r="E302" s="397"/>
      <c r="F302" s="3"/>
      <c r="G302" s="3"/>
      <c r="H302" s="3"/>
      <c r="K302" s="3"/>
    </row>
    <row r="303">
      <c r="B303" s="396"/>
      <c r="C303" s="396"/>
      <c r="D303" s="396"/>
      <c r="E303" s="397"/>
      <c r="F303" s="3"/>
      <c r="G303" s="3"/>
      <c r="H303" s="3"/>
      <c r="K303" s="3"/>
    </row>
    <row r="304">
      <c r="B304" s="396"/>
      <c r="C304" s="396"/>
      <c r="D304" s="396"/>
      <c r="E304" s="397"/>
      <c r="F304" s="3"/>
      <c r="G304" s="3"/>
      <c r="H304" s="3"/>
      <c r="K304" s="3"/>
    </row>
    <row r="305">
      <c r="B305" s="396"/>
      <c r="C305" s="396"/>
      <c r="D305" s="396"/>
      <c r="E305" s="397"/>
      <c r="F305" s="3"/>
      <c r="G305" s="3"/>
      <c r="H305" s="3"/>
      <c r="K305" s="3"/>
    </row>
    <row r="306">
      <c r="B306" s="396"/>
      <c r="C306" s="396"/>
      <c r="D306" s="396"/>
      <c r="E306" s="397"/>
      <c r="F306" s="3"/>
      <c r="G306" s="3"/>
      <c r="H306" s="3"/>
      <c r="K306" s="3"/>
    </row>
    <row r="307">
      <c r="B307" s="396"/>
      <c r="C307" s="396"/>
      <c r="D307" s="396"/>
      <c r="E307" s="397"/>
      <c r="F307" s="3"/>
      <c r="G307" s="3"/>
      <c r="H307" s="3"/>
      <c r="K307" s="3"/>
    </row>
    <row r="308">
      <c r="B308" s="396"/>
      <c r="C308" s="396"/>
      <c r="D308" s="396"/>
      <c r="E308" s="397"/>
      <c r="F308" s="3"/>
      <c r="G308" s="3"/>
      <c r="H308" s="3"/>
      <c r="K308" s="3"/>
    </row>
    <row r="309">
      <c r="B309" s="396"/>
      <c r="C309" s="396"/>
      <c r="D309" s="396"/>
      <c r="E309" s="397"/>
      <c r="F309" s="3"/>
      <c r="G309" s="3"/>
      <c r="H309" s="3"/>
      <c r="K309" s="3"/>
    </row>
    <row r="310">
      <c r="B310" s="396"/>
      <c r="C310" s="396"/>
      <c r="D310" s="396"/>
      <c r="E310" s="397"/>
      <c r="F310" s="3"/>
      <c r="G310" s="3"/>
      <c r="H310" s="3"/>
      <c r="K310" s="3"/>
    </row>
    <row r="311">
      <c r="B311" s="396"/>
      <c r="C311" s="396"/>
      <c r="D311" s="396"/>
      <c r="E311" s="397"/>
      <c r="F311" s="3"/>
      <c r="G311" s="3"/>
      <c r="H311" s="3"/>
      <c r="K311" s="3"/>
    </row>
    <row r="312">
      <c r="B312" s="396"/>
      <c r="C312" s="396"/>
      <c r="D312" s="396"/>
      <c r="E312" s="397"/>
      <c r="F312" s="3"/>
      <c r="G312" s="3"/>
      <c r="H312" s="3"/>
      <c r="K312" s="3"/>
    </row>
    <row r="313">
      <c r="B313" s="396"/>
      <c r="C313" s="396"/>
      <c r="D313" s="396"/>
      <c r="E313" s="397"/>
      <c r="F313" s="3"/>
      <c r="G313" s="3"/>
      <c r="H313" s="3"/>
      <c r="K313" s="3"/>
    </row>
    <row r="314">
      <c r="B314" s="396"/>
      <c r="C314" s="396"/>
      <c r="D314" s="396"/>
      <c r="E314" s="397"/>
      <c r="F314" s="3"/>
      <c r="G314" s="3"/>
      <c r="H314" s="3"/>
      <c r="K314" s="3"/>
    </row>
    <row r="315">
      <c r="B315" s="396"/>
      <c r="C315" s="396"/>
      <c r="D315" s="396"/>
      <c r="E315" s="397"/>
      <c r="F315" s="3"/>
      <c r="G315" s="3"/>
      <c r="H315" s="3"/>
      <c r="K315" s="3"/>
    </row>
    <row r="316">
      <c r="B316" s="396"/>
      <c r="C316" s="396"/>
      <c r="D316" s="396"/>
      <c r="E316" s="397"/>
      <c r="F316" s="3"/>
      <c r="G316" s="3"/>
      <c r="H316" s="3"/>
      <c r="K316" s="3"/>
    </row>
    <row r="317">
      <c r="B317" s="396"/>
      <c r="C317" s="396"/>
      <c r="D317" s="396"/>
      <c r="E317" s="397"/>
      <c r="F317" s="3"/>
      <c r="G317" s="3"/>
      <c r="H317" s="3"/>
      <c r="K317" s="3"/>
    </row>
    <row r="318">
      <c r="B318" s="396"/>
      <c r="C318" s="396"/>
      <c r="D318" s="396"/>
      <c r="E318" s="397"/>
      <c r="F318" s="3"/>
      <c r="G318" s="3"/>
      <c r="H318" s="3"/>
      <c r="K318" s="3"/>
    </row>
    <row r="319">
      <c r="B319" s="396"/>
      <c r="C319" s="396"/>
      <c r="D319" s="396"/>
      <c r="E319" s="397"/>
      <c r="F319" s="3"/>
      <c r="G319" s="3"/>
      <c r="H319" s="3"/>
      <c r="K319" s="3"/>
    </row>
    <row r="320">
      <c r="B320" s="396"/>
      <c r="C320" s="396"/>
      <c r="D320" s="396"/>
      <c r="E320" s="397"/>
      <c r="F320" s="3"/>
      <c r="G320" s="3"/>
      <c r="H320" s="3"/>
      <c r="K320" s="3"/>
    </row>
    <row r="321">
      <c r="B321" s="396"/>
      <c r="C321" s="396"/>
      <c r="D321" s="396"/>
      <c r="E321" s="397"/>
      <c r="F321" s="3"/>
      <c r="G321" s="3"/>
      <c r="H321" s="3"/>
      <c r="K321" s="3"/>
    </row>
    <row r="322">
      <c r="B322" s="396"/>
      <c r="C322" s="396"/>
      <c r="D322" s="396"/>
      <c r="E322" s="397"/>
      <c r="F322" s="3"/>
      <c r="G322" s="3"/>
      <c r="H322" s="3"/>
      <c r="K322" s="3"/>
    </row>
    <row r="323">
      <c r="B323" s="396"/>
      <c r="C323" s="396"/>
      <c r="D323" s="396"/>
      <c r="E323" s="397"/>
      <c r="F323" s="3"/>
      <c r="G323" s="3"/>
      <c r="H323" s="3"/>
      <c r="K323" s="3"/>
    </row>
    <row r="324">
      <c r="B324" s="396"/>
      <c r="C324" s="396"/>
      <c r="D324" s="396"/>
      <c r="E324" s="397"/>
      <c r="F324" s="3"/>
      <c r="G324" s="3"/>
      <c r="H324" s="3"/>
      <c r="K324" s="3"/>
    </row>
    <row r="325">
      <c r="B325" s="396"/>
      <c r="C325" s="396"/>
      <c r="D325" s="396"/>
      <c r="E325" s="397"/>
      <c r="F325" s="3"/>
      <c r="G325" s="3"/>
      <c r="H325" s="3"/>
      <c r="K325" s="3"/>
    </row>
    <row r="326">
      <c r="B326" s="396"/>
      <c r="C326" s="396"/>
      <c r="D326" s="396"/>
      <c r="E326" s="397"/>
      <c r="F326" s="3"/>
      <c r="G326" s="3"/>
      <c r="H326" s="3"/>
      <c r="K326" s="3"/>
    </row>
    <row r="327">
      <c r="B327" s="396"/>
      <c r="C327" s="396"/>
      <c r="D327" s="396"/>
      <c r="E327" s="397"/>
      <c r="F327" s="3"/>
      <c r="G327" s="3"/>
      <c r="H327" s="3"/>
      <c r="K327" s="3"/>
    </row>
    <row r="328">
      <c r="B328" s="396"/>
      <c r="C328" s="396"/>
      <c r="D328" s="396"/>
      <c r="E328" s="397"/>
      <c r="F328" s="3"/>
      <c r="G328" s="3"/>
      <c r="H328" s="3"/>
      <c r="K328" s="3"/>
    </row>
    <row r="329">
      <c r="B329" s="396"/>
      <c r="C329" s="396"/>
      <c r="D329" s="396"/>
      <c r="E329" s="397"/>
      <c r="F329" s="3"/>
      <c r="G329" s="3"/>
      <c r="H329" s="3"/>
      <c r="K329" s="3"/>
    </row>
    <row r="330">
      <c r="B330" s="396"/>
      <c r="C330" s="396"/>
      <c r="D330" s="396"/>
      <c r="E330" s="397"/>
      <c r="F330" s="3"/>
      <c r="G330" s="3"/>
      <c r="H330" s="3"/>
      <c r="K330" s="3"/>
    </row>
    <row r="331">
      <c r="B331" s="396"/>
      <c r="C331" s="396"/>
      <c r="D331" s="396"/>
      <c r="E331" s="397"/>
      <c r="F331" s="3"/>
      <c r="G331" s="3"/>
      <c r="H331" s="3"/>
      <c r="K331" s="3"/>
    </row>
    <row r="332">
      <c r="B332" s="396"/>
      <c r="C332" s="396"/>
      <c r="D332" s="396"/>
      <c r="E332" s="397"/>
      <c r="F332" s="3"/>
      <c r="G332" s="3"/>
      <c r="H332" s="3"/>
      <c r="K332" s="3"/>
    </row>
    <row r="333">
      <c r="B333" s="396"/>
      <c r="C333" s="396"/>
      <c r="D333" s="396"/>
      <c r="E333" s="397"/>
      <c r="F333" s="3"/>
      <c r="G333" s="3"/>
      <c r="H333" s="3"/>
      <c r="K333" s="3"/>
    </row>
    <row r="334">
      <c r="B334" s="396"/>
      <c r="C334" s="396"/>
      <c r="D334" s="396"/>
      <c r="E334" s="397"/>
      <c r="F334" s="3"/>
      <c r="G334" s="3"/>
      <c r="H334" s="3"/>
      <c r="K334" s="3"/>
    </row>
    <row r="335">
      <c r="B335" s="396"/>
      <c r="C335" s="396"/>
      <c r="D335" s="396"/>
      <c r="E335" s="397"/>
      <c r="F335" s="3"/>
      <c r="G335" s="3"/>
      <c r="H335" s="3"/>
      <c r="K335" s="3"/>
    </row>
    <row r="336">
      <c r="B336" s="396"/>
      <c r="C336" s="396"/>
      <c r="D336" s="396"/>
      <c r="E336" s="397"/>
      <c r="F336" s="3"/>
      <c r="G336" s="3"/>
      <c r="H336" s="3"/>
      <c r="K336" s="3"/>
    </row>
    <row r="337">
      <c r="B337" s="396"/>
      <c r="C337" s="396"/>
      <c r="D337" s="396"/>
      <c r="E337" s="397"/>
      <c r="F337" s="3"/>
      <c r="G337" s="3"/>
      <c r="H337" s="3"/>
      <c r="K337" s="3"/>
    </row>
    <row r="338">
      <c r="B338" s="396"/>
      <c r="C338" s="396"/>
      <c r="D338" s="396"/>
      <c r="E338" s="397"/>
      <c r="F338" s="3"/>
      <c r="G338" s="3"/>
      <c r="H338" s="3"/>
      <c r="K338" s="3"/>
    </row>
    <row r="339">
      <c r="B339" s="396"/>
      <c r="C339" s="396"/>
      <c r="D339" s="396"/>
      <c r="E339" s="397"/>
      <c r="F339" s="3"/>
      <c r="G339" s="3"/>
      <c r="H339" s="3"/>
      <c r="K339" s="3"/>
    </row>
    <row r="340">
      <c r="B340" s="396"/>
      <c r="C340" s="396"/>
      <c r="D340" s="396"/>
      <c r="E340" s="397"/>
      <c r="F340" s="3"/>
      <c r="G340" s="3"/>
      <c r="H340" s="3"/>
      <c r="K340" s="3"/>
    </row>
    <row r="341">
      <c r="B341" s="396"/>
      <c r="C341" s="396"/>
      <c r="D341" s="396"/>
      <c r="E341" s="397"/>
      <c r="F341" s="3"/>
      <c r="G341" s="3"/>
      <c r="H341" s="3"/>
      <c r="K341" s="3"/>
    </row>
    <row r="342">
      <c r="B342" s="396"/>
      <c r="C342" s="396"/>
      <c r="D342" s="396"/>
      <c r="E342" s="397"/>
      <c r="F342" s="3"/>
      <c r="G342" s="3"/>
      <c r="H342" s="3"/>
      <c r="K342" s="3"/>
    </row>
    <row r="343">
      <c r="B343" s="396"/>
      <c r="C343" s="396"/>
      <c r="D343" s="396"/>
      <c r="E343" s="397"/>
      <c r="F343" s="3"/>
      <c r="G343" s="3"/>
      <c r="H343" s="3"/>
      <c r="K343" s="3"/>
    </row>
    <row r="344">
      <c r="B344" s="396"/>
      <c r="C344" s="396"/>
      <c r="D344" s="396"/>
      <c r="E344" s="397"/>
      <c r="F344" s="3"/>
      <c r="G344" s="3"/>
      <c r="H344" s="3"/>
      <c r="K344" s="3"/>
    </row>
    <row r="345">
      <c r="B345" s="396"/>
      <c r="C345" s="396"/>
      <c r="D345" s="396"/>
      <c r="E345" s="397"/>
      <c r="F345" s="3"/>
      <c r="G345" s="3"/>
      <c r="H345" s="3"/>
      <c r="K345" s="3"/>
    </row>
    <row r="346">
      <c r="B346" s="396"/>
      <c r="C346" s="396"/>
      <c r="D346" s="396"/>
      <c r="E346" s="397"/>
      <c r="F346" s="3"/>
      <c r="G346" s="3"/>
      <c r="H346" s="3"/>
      <c r="K346" s="3"/>
    </row>
    <row r="347">
      <c r="B347" s="396"/>
      <c r="C347" s="396"/>
      <c r="D347" s="396"/>
      <c r="E347" s="397"/>
      <c r="F347" s="3"/>
      <c r="G347" s="3"/>
      <c r="H347" s="3"/>
      <c r="K347" s="3"/>
    </row>
    <row r="348">
      <c r="B348" s="396"/>
      <c r="C348" s="396"/>
      <c r="D348" s="396"/>
      <c r="E348" s="397"/>
      <c r="F348" s="3"/>
      <c r="G348" s="3"/>
      <c r="H348" s="3"/>
      <c r="K348" s="3"/>
    </row>
    <row r="349">
      <c r="B349" s="396"/>
      <c r="C349" s="396"/>
      <c r="D349" s="396"/>
      <c r="E349" s="397"/>
      <c r="F349" s="3"/>
      <c r="G349" s="3"/>
      <c r="H349" s="3"/>
      <c r="K349" s="3"/>
    </row>
    <row r="350">
      <c r="B350" s="396"/>
      <c r="C350" s="396"/>
      <c r="D350" s="396"/>
      <c r="E350" s="397"/>
      <c r="F350" s="3"/>
      <c r="G350" s="3"/>
      <c r="H350" s="3"/>
      <c r="K350" s="3"/>
    </row>
    <row r="351">
      <c r="B351" s="396"/>
      <c r="C351" s="396"/>
      <c r="D351" s="396"/>
      <c r="E351" s="397"/>
      <c r="F351" s="3"/>
      <c r="G351" s="3"/>
      <c r="H351" s="3"/>
      <c r="K351" s="3"/>
    </row>
    <row r="352">
      <c r="B352" s="396"/>
      <c r="C352" s="396"/>
      <c r="D352" s="396"/>
      <c r="E352" s="397"/>
      <c r="F352" s="3"/>
      <c r="G352" s="3"/>
      <c r="H352" s="3"/>
      <c r="K352" s="3"/>
    </row>
    <row r="353">
      <c r="B353" s="396"/>
      <c r="C353" s="396"/>
      <c r="D353" s="396"/>
      <c r="E353" s="397"/>
      <c r="F353" s="3"/>
      <c r="G353" s="3"/>
      <c r="H353" s="3"/>
      <c r="K353" s="3"/>
    </row>
    <row r="354">
      <c r="B354" s="396"/>
      <c r="C354" s="396"/>
      <c r="D354" s="396"/>
      <c r="E354" s="397"/>
      <c r="F354" s="3"/>
      <c r="G354" s="3"/>
      <c r="H354" s="3"/>
      <c r="K354" s="3"/>
    </row>
    <row r="355">
      <c r="B355" s="396"/>
      <c r="C355" s="396"/>
      <c r="D355" s="396"/>
      <c r="E355" s="397"/>
      <c r="F355" s="3"/>
      <c r="G355" s="3"/>
      <c r="H355" s="3"/>
      <c r="K355" s="3"/>
    </row>
    <row r="356">
      <c r="B356" s="396"/>
      <c r="C356" s="396"/>
      <c r="D356" s="396"/>
      <c r="E356" s="397"/>
      <c r="F356" s="3"/>
      <c r="G356" s="3"/>
      <c r="H356" s="3"/>
      <c r="K356" s="3"/>
    </row>
    <row r="357">
      <c r="B357" s="396"/>
      <c r="C357" s="396"/>
      <c r="D357" s="396"/>
      <c r="E357" s="397"/>
      <c r="F357" s="3"/>
      <c r="G357" s="3"/>
      <c r="H357" s="3"/>
      <c r="K357" s="3"/>
    </row>
    <row r="358">
      <c r="B358" s="396"/>
      <c r="C358" s="396"/>
      <c r="D358" s="396"/>
      <c r="E358" s="397"/>
      <c r="F358" s="3"/>
      <c r="G358" s="3"/>
      <c r="H358" s="3"/>
      <c r="K358" s="3"/>
    </row>
    <row r="359">
      <c r="B359" s="396"/>
      <c r="C359" s="396"/>
      <c r="D359" s="396"/>
      <c r="E359" s="397"/>
      <c r="F359" s="3"/>
      <c r="G359" s="3"/>
      <c r="H359" s="3"/>
      <c r="K359" s="3"/>
    </row>
    <row r="360">
      <c r="B360" s="396"/>
      <c r="C360" s="396"/>
      <c r="D360" s="396"/>
      <c r="E360" s="397"/>
      <c r="F360" s="3"/>
      <c r="G360" s="3"/>
      <c r="H360" s="3"/>
      <c r="K360" s="3"/>
    </row>
    <row r="361">
      <c r="B361" s="396"/>
      <c r="C361" s="396"/>
      <c r="D361" s="396"/>
      <c r="E361" s="397"/>
      <c r="F361" s="3"/>
      <c r="G361" s="3"/>
      <c r="H361" s="3"/>
      <c r="K361" s="3"/>
    </row>
    <row r="362">
      <c r="B362" s="396"/>
      <c r="C362" s="396"/>
      <c r="D362" s="396"/>
      <c r="E362" s="397"/>
      <c r="F362" s="3"/>
      <c r="G362" s="3"/>
      <c r="H362" s="3"/>
      <c r="K362" s="3"/>
    </row>
    <row r="363">
      <c r="B363" s="396"/>
      <c r="C363" s="396"/>
      <c r="D363" s="396"/>
      <c r="E363" s="397"/>
      <c r="F363" s="3"/>
      <c r="G363" s="3"/>
      <c r="H363" s="3"/>
      <c r="K363" s="3"/>
    </row>
    <row r="364">
      <c r="B364" s="396"/>
      <c r="C364" s="396"/>
      <c r="D364" s="396"/>
      <c r="E364" s="397"/>
      <c r="F364" s="3"/>
      <c r="G364" s="3"/>
      <c r="H364" s="3"/>
      <c r="K364" s="3"/>
    </row>
    <row r="365">
      <c r="B365" s="396"/>
      <c r="C365" s="396"/>
      <c r="D365" s="396"/>
      <c r="E365" s="397"/>
      <c r="F365" s="3"/>
      <c r="G365" s="3"/>
      <c r="H365" s="3"/>
      <c r="K365" s="3"/>
    </row>
    <row r="366">
      <c r="B366" s="396"/>
      <c r="C366" s="396"/>
      <c r="D366" s="396"/>
      <c r="E366" s="397"/>
      <c r="F366" s="3"/>
      <c r="G366" s="3"/>
      <c r="H366" s="3"/>
      <c r="K366" s="3"/>
    </row>
    <row r="367">
      <c r="B367" s="396"/>
      <c r="C367" s="396"/>
      <c r="D367" s="396"/>
      <c r="E367" s="397"/>
      <c r="F367" s="3"/>
      <c r="G367" s="3"/>
      <c r="H367" s="3"/>
      <c r="K367" s="3"/>
    </row>
    <row r="368">
      <c r="B368" s="396"/>
      <c r="C368" s="396"/>
      <c r="D368" s="396"/>
      <c r="E368" s="397"/>
      <c r="F368" s="3"/>
      <c r="G368" s="3"/>
      <c r="H368" s="3"/>
      <c r="K368" s="3"/>
    </row>
    <row r="369">
      <c r="B369" s="396"/>
      <c r="C369" s="396"/>
      <c r="D369" s="396"/>
      <c r="E369" s="397"/>
      <c r="F369" s="3"/>
      <c r="G369" s="3"/>
      <c r="H369" s="3"/>
      <c r="K369" s="3"/>
    </row>
    <row r="370">
      <c r="B370" s="396"/>
      <c r="C370" s="396"/>
      <c r="D370" s="396"/>
      <c r="E370" s="397"/>
      <c r="F370" s="3"/>
      <c r="G370" s="3"/>
      <c r="H370" s="3"/>
      <c r="K370" s="3"/>
    </row>
    <row r="371">
      <c r="B371" s="396"/>
      <c r="C371" s="396"/>
      <c r="D371" s="396"/>
      <c r="E371" s="397"/>
      <c r="F371" s="3"/>
      <c r="G371" s="3"/>
      <c r="H371" s="3"/>
      <c r="K371" s="3"/>
    </row>
    <row r="372">
      <c r="B372" s="396"/>
      <c r="C372" s="396"/>
      <c r="D372" s="396"/>
      <c r="E372" s="397"/>
      <c r="F372" s="3"/>
      <c r="G372" s="3"/>
      <c r="H372" s="3"/>
      <c r="K372" s="3"/>
    </row>
    <row r="373">
      <c r="B373" s="396"/>
      <c r="C373" s="396"/>
      <c r="D373" s="396"/>
      <c r="E373" s="397"/>
      <c r="F373" s="3"/>
      <c r="G373" s="3"/>
      <c r="H373" s="3"/>
      <c r="K373" s="3"/>
    </row>
    <row r="374">
      <c r="B374" s="396"/>
      <c r="C374" s="396"/>
      <c r="D374" s="396"/>
      <c r="E374" s="397"/>
      <c r="F374" s="3"/>
      <c r="G374" s="3"/>
      <c r="H374" s="3"/>
      <c r="K374" s="3"/>
    </row>
    <row r="375">
      <c r="B375" s="396"/>
      <c r="C375" s="396"/>
      <c r="D375" s="396"/>
      <c r="E375" s="397"/>
      <c r="F375" s="3"/>
      <c r="G375" s="3"/>
      <c r="H375" s="3"/>
      <c r="K375" s="3"/>
    </row>
    <row r="376">
      <c r="B376" s="396"/>
      <c r="C376" s="396"/>
      <c r="D376" s="396"/>
      <c r="E376" s="397"/>
      <c r="F376" s="3"/>
      <c r="G376" s="3"/>
      <c r="H376" s="3"/>
      <c r="K376" s="3"/>
    </row>
    <row r="377">
      <c r="B377" s="396"/>
      <c r="C377" s="396"/>
      <c r="D377" s="396"/>
      <c r="E377" s="397"/>
      <c r="F377" s="3"/>
      <c r="G377" s="3"/>
      <c r="H377" s="3"/>
      <c r="K377" s="3"/>
    </row>
    <row r="378">
      <c r="B378" s="396"/>
      <c r="C378" s="396"/>
      <c r="D378" s="396"/>
      <c r="E378" s="397"/>
      <c r="F378" s="3"/>
      <c r="G378" s="3"/>
      <c r="H378" s="3"/>
      <c r="K378" s="3"/>
    </row>
    <row r="379">
      <c r="B379" s="396"/>
      <c r="C379" s="396"/>
      <c r="D379" s="396"/>
      <c r="E379" s="397"/>
      <c r="F379" s="3"/>
      <c r="G379" s="3"/>
      <c r="H379" s="3"/>
      <c r="K379" s="3"/>
    </row>
    <row r="380">
      <c r="B380" s="396"/>
      <c r="C380" s="396"/>
      <c r="D380" s="396"/>
      <c r="E380" s="397"/>
      <c r="F380" s="3"/>
      <c r="G380" s="3"/>
      <c r="H380" s="3"/>
      <c r="K380" s="3"/>
    </row>
    <row r="381">
      <c r="B381" s="396"/>
      <c r="C381" s="396"/>
      <c r="D381" s="396"/>
      <c r="E381" s="397"/>
      <c r="F381" s="3"/>
      <c r="G381" s="3"/>
      <c r="H381" s="3"/>
      <c r="K381" s="3"/>
    </row>
    <row r="382">
      <c r="B382" s="396"/>
      <c r="C382" s="396"/>
      <c r="D382" s="396"/>
      <c r="E382" s="397"/>
      <c r="F382" s="3"/>
      <c r="G382" s="3"/>
      <c r="H382" s="3"/>
      <c r="K382" s="3"/>
    </row>
    <row r="383">
      <c r="B383" s="396"/>
      <c r="C383" s="396"/>
      <c r="D383" s="396"/>
      <c r="E383" s="397"/>
      <c r="F383" s="3"/>
      <c r="G383" s="3"/>
      <c r="H383" s="3"/>
      <c r="K383" s="3"/>
    </row>
    <row r="384">
      <c r="B384" s="396"/>
      <c r="C384" s="396"/>
      <c r="D384" s="396"/>
      <c r="E384" s="397"/>
      <c r="F384" s="3"/>
      <c r="G384" s="3"/>
      <c r="H384" s="3"/>
      <c r="K384" s="3"/>
    </row>
    <row r="385">
      <c r="B385" s="396"/>
      <c r="C385" s="396"/>
      <c r="D385" s="396"/>
      <c r="E385" s="397"/>
      <c r="F385" s="3"/>
      <c r="G385" s="3"/>
      <c r="H385" s="3"/>
      <c r="K385" s="3"/>
    </row>
    <row r="386">
      <c r="B386" s="396"/>
      <c r="C386" s="396"/>
      <c r="D386" s="396"/>
      <c r="E386" s="397"/>
      <c r="F386" s="3"/>
      <c r="G386" s="3"/>
      <c r="H386" s="3"/>
      <c r="K386" s="3"/>
    </row>
    <row r="387">
      <c r="B387" s="396"/>
      <c r="C387" s="396"/>
      <c r="D387" s="396"/>
      <c r="E387" s="397"/>
      <c r="F387" s="3"/>
      <c r="G387" s="3"/>
      <c r="H387" s="3"/>
      <c r="K387" s="3"/>
    </row>
    <row r="388">
      <c r="B388" s="396"/>
      <c r="C388" s="396"/>
      <c r="D388" s="396"/>
      <c r="E388" s="397"/>
      <c r="F388" s="3"/>
      <c r="G388" s="3"/>
      <c r="H388" s="3"/>
      <c r="K388" s="3"/>
    </row>
    <row r="389">
      <c r="B389" s="396"/>
      <c r="C389" s="396"/>
      <c r="D389" s="396"/>
      <c r="E389" s="397"/>
      <c r="F389" s="3"/>
      <c r="G389" s="3"/>
      <c r="H389" s="3"/>
      <c r="K389" s="3"/>
    </row>
    <row r="390">
      <c r="B390" s="396"/>
      <c r="C390" s="396"/>
      <c r="D390" s="396"/>
      <c r="E390" s="397"/>
      <c r="F390" s="3"/>
      <c r="G390" s="3"/>
      <c r="H390" s="3"/>
      <c r="K390" s="3"/>
    </row>
    <row r="391">
      <c r="B391" s="396"/>
      <c r="C391" s="396"/>
      <c r="D391" s="396"/>
      <c r="E391" s="397"/>
      <c r="F391" s="3"/>
      <c r="G391" s="3"/>
      <c r="H391" s="3"/>
      <c r="K391" s="3"/>
    </row>
    <row r="392">
      <c r="B392" s="396"/>
      <c r="C392" s="396"/>
      <c r="D392" s="396"/>
      <c r="E392" s="397"/>
      <c r="F392" s="3"/>
      <c r="G392" s="3"/>
      <c r="H392" s="3"/>
      <c r="K392" s="3"/>
    </row>
    <row r="393">
      <c r="B393" s="396"/>
      <c r="C393" s="396"/>
      <c r="D393" s="396"/>
      <c r="E393" s="397"/>
      <c r="F393" s="3"/>
      <c r="G393" s="3"/>
      <c r="H393" s="3"/>
      <c r="K393" s="3"/>
    </row>
    <row r="394">
      <c r="B394" s="396"/>
      <c r="C394" s="396"/>
      <c r="D394" s="396"/>
      <c r="E394" s="397"/>
      <c r="F394" s="3"/>
      <c r="G394" s="3"/>
      <c r="H394" s="3"/>
      <c r="K394" s="3"/>
    </row>
    <row r="395">
      <c r="B395" s="396"/>
      <c r="C395" s="396"/>
      <c r="D395" s="396"/>
      <c r="E395" s="397"/>
      <c r="F395" s="3"/>
      <c r="G395" s="3"/>
      <c r="H395" s="3"/>
      <c r="K395" s="3"/>
    </row>
    <row r="396">
      <c r="B396" s="396"/>
      <c r="C396" s="396"/>
      <c r="D396" s="396"/>
      <c r="E396" s="397"/>
      <c r="F396" s="3"/>
      <c r="G396" s="3"/>
      <c r="H396" s="3"/>
      <c r="K396" s="3"/>
    </row>
    <row r="397">
      <c r="B397" s="396"/>
      <c r="C397" s="396"/>
      <c r="D397" s="396"/>
      <c r="E397" s="397"/>
      <c r="F397" s="3"/>
      <c r="G397" s="3"/>
      <c r="H397" s="3"/>
      <c r="K397" s="3"/>
    </row>
    <row r="398">
      <c r="B398" s="396"/>
      <c r="C398" s="396"/>
      <c r="D398" s="396"/>
      <c r="E398" s="397"/>
      <c r="F398" s="3"/>
      <c r="G398" s="3"/>
      <c r="H398" s="3"/>
      <c r="K398" s="3"/>
    </row>
    <row r="399">
      <c r="B399" s="396"/>
      <c r="C399" s="396"/>
      <c r="D399" s="396"/>
      <c r="E399" s="397"/>
      <c r="F399" s="3"/>
      <c r="G399" s="3"/>
      <c r="H399" s="3"/>
      <c r="K399" s="3"/>
    </row>
    <row r="400">
      <c r="B400" s="396"/>
      <c r="C400" s="396"/>
      <c r="D400" s="396"/>
      <c r="E400" s="397"/>
      <c r="F400" s="3"/>
      <c r="G400" s="3"/>
      <c r="H400" s="3"/>
      <c r="K400" s="3"/>
    </row>
    <row r="401">
      <c r="B401" s="396"/>
      <c r="C401" s="396"/>
      <c r="D401" s="396"/>
      <c r="E401" s="397"/>
      <c r="F401" s="3"/>
      <c r="G401" s="3"/>
      <c r="H401" s="3"/>
      <c r="K401" s="3"/>
    </row>
    <row r="402">
      <c r="B402" s="396"/>
      <c r="C402" s="396"/>
      <c r="D402" s="396"/>
      <c r="E402" s="397"/>
      <c r="F402" s="3"/>
      <c r="G402" s="3"/>
      <c r="H402" s="3"/>
      <c r="K402" s="3"/>
    </row>
    <row r="403">
      <c r="B403" s="396"/>
      <c r="C403" s="396"/>
      <c r="D403" s="396"/>
      <c r="E403" s="397"/>
      <c r="F403" s="3"/>
      <c r="G403" s="3"/>
      <c r="H403" s="3"/>
      <c r="K403" s="3"/>
    </row>
    <row r="404">
      <c r="B404" s="396"/>
      <c r="C404" s="396"/>
      <c r="D404" s="396"/>
      <c r="E404" s="397"/>
      <c r="F404" s="3"/>
      <c r="G404" s="3"/>
      <c r="H404" s="3"/>
      <c r="K404" s="3"/>
    </row>
    <row r="405">
      <c r="B405" s="396"/>
      <c r="C405" s="396"/>
      <c r="D405" s="396"/>
      <c r="E405" s="397"/>
      <c r="F405" s="3"/>
      <c r="G405" s="3"/>
      <c r="H405" s="3"/>
      <c r="K405" s="3"/>
    </row>
    <row r="406">
      <c r="B406" s="396"/>
      <c r="C406" s="396"/>
      <c r="D406" s="396"/>
      <c r="E406" s="397"/>
      <c r="F406" s="3"/>
      <c r="G406" s="3"/>
      <c r="H406" s="3"/>
      <c r="K406" s="3"/>
    </row>
    <row r="407">
      <c r="B407" s="396"/>
      <c r="C407" s="396"/>
      <c r="D407" s="396"/>
      <c r="E407" s="397"/>
      <c r="F407" s="3"/>
      <c r="G407" s="3"/>
      <c r="H407" s="3"/>
      <c r="K407" s="3"/>
    </row>
    <row r="408">
      <c r="B408" s="396"/>
      <c r="C408" s="396"/>
      <c r="D408" s="396"/>
      <c r="E408" s="397"/>
      <c r="F408" s="3"/>
      <c r="G408" s="3"/>
      <c r="H408" s="3"/>
      <c r="K408" s="3"/>
    </row>
    <row r="409">
      <c r="B409" s="396"/>
      <c r="C409" s="396"/>
      <c r="D409" s="396"/>
      <c r="E409" s="397"/>
      <c r="F409" s="3"/>
      <c r="G409" s="3"/>
      <c r="H409" s="3"/>
      <c r="K409" s="3"/>
    </row>
    <row r="410">
      <c r="B410" s="396"/>
      <c r="C410" s="396"/>
      <c r="D410" s="396"/>
      <c r="E410" s="397"/>
      <c r="F410" s="3"/>
      <c r="G410" s="3"/>
      <c r="H410" s="3"/>
      <c r="K410" s="3"/>
    </row>
    <row r="411">
      <c r="B411" s="396"/>
      <c r="C411" s="396"/>
      <c r="D411" s="396"/>
      <c r="E411" s="397"/>
      <c r="F411" s="3"/>
      <c r="G411" s="3"/>
      <c r="H411" s="3"/>
      <c r="K411" s="3"/>
    </row>
    <row r="412">
      <c r="B412" s="396"/>
      <c r="C412" s="396"/>
      <c r="D412" s="396"/>
      <c r="E412" s="397"/>
      <c r="F412" s="3"/>
      <c r="G412" s="3"/>
      <c r="H412" s="3"/>
      <c r="K412" s="3"/>
    </row>
    <row r="413">
      <c r="B413" s="396"/>
      <c r="C413" s="396"/>
      <c r="D413" s="396"/>
      <c r="E413" s="397"/>
      <c r="F413" s="3"/>
      <c r="G413" s="3"/>
      <c r="H413" s="3"/>
      <c r="K413" s="3"/>
    </row>
    <row r="414">
      <c r="B414" s="396"/>
      <c r="C414" s="396"/>
      <c r="D414" s="396"/>
      <c r="E414" s="397"/>
      <c r="F414" s="3"/>
      <c r="G414" s="3"/>
      <c r="H414" s="3"/>
      <c r="K414" s="3"/>
    </row>
    <row r="415">
      <c r="B415" s="396"/>
      <c r="C415" s="396"/>
      <c r="D415" s="396"/>
      <c r="E415" s="397"/>
      <c r="F415" s="3"/>
      <c r="G415" s="3"/>
      <c r="H415" s="3"/>
      <c r="K415" s="3"/>
    </row>
    <row r="416">
      <c r="B416" s="396"/>
      <c r="C416" s="396"/>
      <c r="D416" s="396"/>
      <c r="E416" s="397"/>
      <c r="F416" s="3"/>
      <c r="G416" s="3"/>
      <c r="H416" s="3"/>
      <c r="K416" s="3"/>
    </row>
    <row r="417">
      <c r="B417" s="396"/>
      <c r="C417" s="396"/>
      <c r="D417" s="396"/>
      <c r="E417" s="397"/>
      <c r="F417" s="3"/>
      <c r="G417" s="3"/>
      <c r="H417" s="3"/>
      <c r="K417" s="3"/>
    </row>
    <row r="418">
      <c r="B418" s="396"/>
      <c r="C418" s="396"/>
      <c r="D418" s="396"/>
      <c r="E418" s="397"/>
      <c r="F418" s="3"/>
      <c r="G418" s="3"/>
      <c r="H418" s="3"/>
      <c r="K418" s="3"/>
    </row>
    <row r="419">
      <c r="B419" s="396"/>
      <c r="C419" s="396"/>
      <c r="D419" s="396"/>
      <c r="E419" s="397"/>
      <c r="F419" s="3"/>
      <c r="G419" s="3"/>
      <c r="H419" s="3"/>
      <c r="K419" s="3"/>
    </row>
    <row r="420">
      <c r="B420" s="396"/>
      <c r="C420" s="396"/>
      <c r="D420" s="396"/>
      <c r="E420" s="397"/>
      <c r="F420" s="3"/>
      <c r="G420" s="3"/>
      <c r="H420" s="3"/>
      <c r="K420" s="3"/>
    </row>
    <row r="421">
      <c r="B421" s="396"/>
      <c r="C421" s="396"/>
      <c r="D421" s="396"/>
      <c r="E421" s="397"/>
      <c r="F421" s="3"/>
      <c r="G421" s="3"/>
      <c r="H421" s="3"/>
      <c r="K421" s="3"/>
    </row>
    <row r="422">
      <c r="B422" s="396"/>
      <c r="C422" s="396"/>
      <c r="D422" s="396"/>
      <c r="E422" s="397"/>
      <c r="F422" s="3"/>
      <c r="G422" s="3"/>
      <c r="H422" s="3"/>
      <c r="K422" s="3"/>
    </row>
    <row r="423">
      <c r="B423" s="396"/>
      <c r="C423" s="396"/>
      <c r="D423" s="396"/>
      <c r="E423" s="397"/>
      <c r="F423" s="3"/>
      <c r="G423" s="3"/>
      <c r="H423" s="3"/>
      <c r="K423" s="3"/>
    </row>
    <row r="424">
      <c r="B424" s="396"/>
      <c r="C424" s="396"/>
      <c r="D424" s="396"/>
      <c r="E424" s="397"/>
      <c r="F424" s="3"/>
      <c r="G424" s="3"/>
      <c r="H424" s="3"/>
      <c r="K424" s="3"/>
    </row>
    <row r="425">
      <c r="B425" s="396"/>
      <c r="C425" s="396"/>
      <c r="D425" s="396"/>
      <c r="E425" s="397"/>
      <c r="F425" s="3"/>
      <c r="G425" s="3"/>
      <c r="H425" s="3"/>
      <c r="K425" s="3"/>
    </row>
    <row r="426">
      <c r="B426" s="396"/>
      <c r="C426" s="396"/>
      <c r="D426" s="396"/>
      <c r="E426" s="397"/>
      <c r="F426" s="3"/>
      <c r="G426" s="3"/>
      <c r="H426" s="3"/>
      <c r="K426" s="3"/>
    </row>
    <row r="427">
      <c r="B427" s="396"/>
      <c r="C427" s="396"/>
      <c r="D427" s="396"/>
      <c r="E427" s="397"/>
      <c r="F427" s="3"/>
      <c r="G427" s="3"/>
      <c r="H427" s="3"/>
      <c r="K427" s="3"/>
    </row>
    <row r="428">
      <c r="B428" s="396"/>
      <c r="C428" s="396"/>
      <c r="D428" s="396"/>
      <c r="E428" s="397"/>
      <c r="F428" s="3"/>
      <c r="G428" s="3"/>
      <c r="H428" s="3"/>
      <c r="K428" s="3"/>
    </row>
    <row r="429">
      <c r="B429" s="396"/>
      <c r="C429" s="396"/>
      <c r="D429" s="396"/>
      <c r="E429" s="397"/>
      <c r="F429" s="3"/>
      <c r="G429" s="3"/>
      <c r="H429" s="3"/>
      <c r="K429" s="3"/>
    </row>
    <row r="430">
      <c r="B430" s="396"/>
      <c r="C430" s="396"/>
      <c r="D430" s="396"/>
      <c r="E430" s="397"/>
      <c r="F430" s="3"/>
      <c r="G430" s="3"/>
      <c r="H430" s="3"/>
      <c r="K430" s="3"/>
    </row>
    <row r="431">
      <c r="B431" s="396"/>
      <c r="C431" s="396"/>
      <c r="D431" s="396"/>
      <c r="E431" s="397"/>
      <c r="F431" s="3"/>
      <c r="G431" s="3"/>
      <c r="H431" s="3"/>
      <c r="K431" s="3"/>
    </row>
    <row r="432">
      <c r="B432" s="396"/>
      <c r="C432" s="396"/>
      <c r="D432" s="396"/>
      <c r="E432" s="397"/>
      <c r="F432" s="3"/>
      <c r="G432" s="3"/>
      <c r="H432" s="3"/>
      <c r="K432" s="3"/>
    </row>
    <row r="433">
      <c r="B433" s="396"/>
      <c r="C433" s="396"/>
      <c r="D433" s="396"/>
      <c r="E433" s="397"/>
      <c r="F433" s="3"/>
      <c r="G433" s="3"/>
      <c r="H433" s="3"/>
      <c r="K433" s="3"/>
    </row>
    <row r="434">
      <c r="B434" s="396"/>
      <c r="C434" s="396"/>
      <c r="D434" s="396"/>
      <c r="E434" s="397"/>
      <c r="F434" s="3"/>
      <c r="G434" s="3"/>
      <c r="H434" s="3"/>
      <c r="K434" s="3"/>
    </row>
    <row r="435">
      <c r="B435" s="396"/>
      <c r="C435" s="396"/>
      <c r="D435" s="396"/>
      <c r="E435" s="397"/>
      <c r="F435" s="3"/>
      <c r="G435" s="3"/>
      <c r="H435" s="3"/>
      <c r="K435" s="3"/>
    </row>
    <row r="436">
      <c r="B436" s="396"/>
      <c r="C436" s="396"/>
      <c r="D436" s="396"/>
      <c r="E436" s="397"/>
      <c r="F436" s="3"/>
      <c r="G436" s="3"/>
      <c r="H436" s="3"/>
      <c r="K436" s="3"/>
    </row>
    <row r="437">
      <c r="B437" s="396"/>
      <c r="C437" s="396"/>
      <c r="D437" s="396"/>
      <c r="E437" s="397"/>
      <c r="F437" s="3"/>
      <c r="G437" s="3"/>
      <c r="H437" s="3"/>
      <c r="K437" s="3"/>
    </row>
    <row r="438">
      <c r="B438" s="396"/>
      <c r="C438" s="396"/>
      <c r="D438" s="396"/>
      <c r="E438" s="397"/>
      <c r="F438" s="3"/>
      <c r="G438" s="3"/>
      <c r="H438" s="3"/>
      <c r="K438" s="3"/>
    </row>
    <row r="439">
      <c r="B439" s="396"/>
      <c r="C439" s="396"/>
      <c r="D439" s="396"/>
      <c r="E439" s="397"/>
      <c r="F439" s="3"/>
      <c r="G439" s="3"/>
      <c r="H439" s="3"/>
      <c r="K439" s="3"/>
    </row>
    <row r="440">
      <c r="B440" s="396"/>
      <c r="C440" s="396"/>
      <c r="D440" s="396"/>
      <c r="E440" s="397"/>
      <c r="F440" s="3"/>
      <c r="G440" s="3"/>
      <c r="H440" s="3"/>
      <c r="K440" s="3"/>
    </row>
    <row r="441">
      <c r="B441" s="396"/>
      <c r="C441" s="396"/>
      <c r="D441" s="396"/>
      <c r="E441" s="397"/>
      <c r="F441" s="3"/>
      <c r="G441" s="3"/>
      <c r="H441" s="3"/>
      <c r="K441" s="3"/>
    </row>
    <row r="442">
      <c r="B442" s="396"/>
      <c r="C442" s="396"/>
      <c r="D442" s="396"/>
      <c r="E442" s="397"/>
      <c r="F442" s="3"/>
      <c r="G442" s="3"/>
      <c r="H442" s="3"/>
      <c r="K442" s="3"/>
    </row>
    <row r="443">
      <c r="B443" s="396"/>
      <c r="C443" s="396"/>
      <c r="D443" s="396"/>
      <c r="E443" s="397"/>
      <c r="F443" s="3"/>
      <c r="G443" s="3"/>
      <c r="H443" s="3"/>
      <c r="K443" s="3"/>
    </row>
    <row r="444">
      <c r="B444" s="396"/>
      <c r="C444" s="396"/>
      <c r="D444" s="396"/>
      <c r="E444" s="397"/>
      <c r="F444" s="3"/>
      <c r="G444" s="3"/>
      <c r="H444" s="3"/>
      <c r="K444" s="3"/>
    </row>
    <row r="445">
      <c r="B445" s="396"/>
      <c r="C445" s="396"/>
      <c r="D445" s="396"/>
      <c r="E445" s="397"/>
      <c r="F445" s="3"/>
      <c r="G445" s="3"/>
      <c r="H445" s="3"/>
      <c r="K445" s="3"/>
    </row>
    <row r="446">
      <c r="B446" s="396"/>
      <c r="C446" s="396"/>
      <c r="D446" s="396"/>
      <c r="E446" s="397"/>
      <c r="F446" s="3"/>
      <c r="G446" s="3"/>
      <c r="H446" s="3"/>
      <c r="K446" s="3"/>
    </row>
    <row r="447">
      <c r="B447" s="396"/>
      <c r="C447" s="396"/>
      <c r="D447" s="396"/>
      <c r="E447" s="397"/>
      <c r="F447" s="3"/>
      <c r="G447" s="3"/>
      <c r="H447" s="3"/>
      <c r="K447" s="3"/>
    </row>
    <row r="448">
      <c r="B448" s="396"/>
      <c r="C448" s="396"/>
      <c r="D448" s="396"/>
      <c r="E448" s="397"/>
      <c r="F448" s="3"/>
      <c r="G448" s="3"/>
      <c r="H448" s="3"/>
      <c r="K448" s="3"/>
    </row>
    <row r="449">
      <c r="B449" s="396"/>
      <c r="C449" s="396"/>
      <c r="D449" s="396"/>
      <c r="E449" s="397"/>
      <c r="F449" s="3"/>
      <c r="G449" s="3"/>
      <c r="H449" s="3"/>
      <c r="K449" s="3"/>
    </row>
    <row r="450">
      <c r="B450" s="396"/>
      <c r="C450" s="396"/>
      <c r="D450" s="396"/>
      <c r="E450" s="397"/>
      <c r="F450" s="3"/>
      <c r="G450" s="3"/>
      <c r="H450" s="3"/>
      <c r="K450" s="3"/>
    </row>
    <row r="451">
      <c r="B451" s="396"/>
      <c r="C451" s="396"/>
      <c r="D451" s="396"/>
      <c r="E451" s="397"/>
      <c r="F451" s="3"/>
      <c r="G451" s="3"/>
      <c r="H451" s="3"/>
      <c r="K451" s="3"/>
    </row>
    <row r="452">
      <c r="B452" s="396"/>
      <c r="C452" s="396"/>
      <c r="D452" s="396"/>
      <c r="E452" s="397"/>
      <c r="F452" s="3"/>
      <c r="G452" s="3"/>
      <c r="H452" s="3"/>
      <c r="K452" s="3"/>
    </row>
    <row r="453">
      <c r="B453" s="396"/>
      <c r="C453" s="396"/>
      <c r="D453" s="396"/>
      <c r="E453" s="397"/>
      <c r="F453" s="3"/>
      <c r="G453" s="3"/>
      <c r="H453" s="3"/>
      <c r="K453" s="3"/>
    </row>
    <row r="454">
      <c r="B454" s="396"/>
      <c r="C454" s="396"/>
      <c r="D454" s="396"/>
      <c r="E454" s="397"/>
      <c r="F454" s="3"/>
      <c r="G454" s="3"/>
      <c r="H454" s="3"/>
      <c r="K454" s="3"/>
    </row>
    <row r="455">
      <c r="B455" s="396"/>
      <c r="C455" s="396"/>
      <c r="D455" s="396"/>
      <c r="E455" s="397"/>
      <c r="F455" s="3"/>
      <c r="G455" s="3"/>
      <c r="H455" s="3"/>
      <c r="K455" s="3"/>
    </row>
    <row r="456">
      <c r="B456" s="396"/>
      <c r="C456" s="396"/>
      <c r="D456" s="396"/>
      <c r="E456" s="397"/>
      <c r="F456" s="3"/>
      <c r="G456" s="3"/>
      <c r="H456" s="3"/>
      <c r="K456" s="3"/>
    </row>
    <row r="457">
      <c r="B457" s="396"/>
      <c r="C457" s="396"/>
      <c r="D457" s="396"/>
      <c r="E457" s="397"/>
      <c r="F457" s="3"/>
      <c r="G457" s="3"/>
      <c r="H457" s="3"/>
      <c r="K457" s="3"/>
    </row>
    <row r="458">
      <c r="B458" s="396"/>
      <c r="C458" s="396"/>
      <c r="D458" s="396"/>
      <c r="E458" s="397"/>
      <c r="F458" s="3"/>
      <c r="G458" s="3"/>
      <c r="H458" s="3"/>
      <c r="K458" s="3"/>
    </row>
    <row r="459">
      <c r="B459" s="396"/>
      <c r="C459" s="396"/>
      <c r="D459" s="396"/>
      <c r="E459" s="397"/>
      <c r="F459" s="3"/>
      <c r="G459" s="3"/>
      <c r="H459" s="3"/>
      <c r="K459" s="3"/>
    </row>
    <row r="460">
      <c r="B460" s="396"/>
      <c r="C460" s="396"/>
      <c r="D460" s="396"/>
      <c r="E460" s="397"/>
      <c r="F460" s="3"/>
      <c r="G460" s="3"/>
      <c r="H460" s="3"/>
      <c r="K460" s="3"/>
    </row>
    <row r="461">
      <c r="B461" s="396"/>
      <c r="C461" s="396"/>
      <c r="D461" s="396"/>
      <c r="E461" s="397"/>
      <c r="F461" s="3"/>
      <c r="G461" s="3"/>
      <c r="H461" s="3"/>
      <c r="K461" s="3"/>
    </row>
    <row r="462">
      <c r="B462" s="396"/>
      <c r="C462" s="396"/>
      <c r="D462" s="396"/>
      <c r="E462" s="397"/>
      <c r="F462" s="3"/>
      <c r="G462" s="3"/>
      <c r="H462" s="3"/>
      <c r="K462" s="3"/>
    </row>
    <row r="463">
      <c r="B463" s="396"/>
      <c r="C463" s="396"/>
      <c r="D463" s="396"/>
      <c r="E463" s="397"/>
      <c r="F463" s="3"/>
      <c r="G463" s="3"/>
      <c r="H463" s="3"/>
      <c r="K463" s="3"/>
    </row>
    <row r="464">
      <c r="B464" s="396"/>
      <c r="C464" s="396"/>
      <c r="D464" s="396"/>
      <c r="E464" s="397"/>
      <c r="F464" s="3"/>
      <c r="G464" s="3"/>
      <c r="H464" s="3"/>
      <c r="K464" s="3"/>
    </row>
    <row r="465">
      <c r="B465" s="396"/>
      <c r="C465" s="396"/>
      <c r="D465" s="396"/>
      <c r="E465" s="397"/>
      <c r="F465" s="3"/>
      <c r="G465" s="3"/>
      <c r="H465" s="3"/>
      <c r="K465" s="3"/>
    </row>
    <row r="466">
      <c r="B466" s="396"/>
      <c r="C466" s="396"/>
      <c r="D466" s="396"/>
      <c r="E466" s="397"/>
      <c r="F466" s="3"/>
      <c r="G466" s="3"/>
      <c r="H466" s="3"/>
      <c r="K466" s="3"/>
    </row>
    <row r="467">
      <c r="B467" s="396"/>
      <c r="C467" s="396"/>
      <c r="D467" s="396"/>
      <c r="E467" s="397"/>
      <c r="F467" s="3"/>
      <c r="G467" s="3"/>
      <c r="H467" s="3"/>
      <c r="K467" s="3"/>
    </row>
    <row r="468">
      <c r="B468" s="396"/>
      <c r="C468" s="396"/>
      <c r="D468" s="396"/>
      <c r="E468" s="397"/>
      <c r="F468" s="3"/>
      <c r="G468" s="3"/>
      <c r="H468" s="3"/>
      <c r="K468" s="3"/>
    </row>
    <row r="469">
      <c r="B469" s="396"/>
      <c r="C469" s="396"/>
      <c r="D469" s="396"/>
      <c r="E469" s="397"/>
      <c r="F469" s="3"/>
      <c r="G469" s="3"/>
      <c r="H469" s="3"/>
      <c r="K469" s="3"/>
    </row>
    <row r="470">
      <c r="B470" s="396"/>
      <c r="C470" s="396"/>
      <c r="D470" s="396"/>
      <c r="E470" s="397"/>
      <c r="F470" s="3"/>
      <c r="G470" s="3"/>
      <c r="H470" s="3"/>
      <c r="K470" s="3"/>
    </row>
    <row r="471">
      <c r="B471" s="396"/>
      <c r="C471" s="396"/>
      <c r="D471" s="396"/>
      <c r="E471" s="397"/>
      <c r="F471" s="3"/>
      <c r="G471" s="3"/>
      <c r="H471" s="3"/>
      <c r="K471" s="3"/>
    </row>
    <row r="472">
      <c r="B472" s="396"/>
      <c r="C472" s="396"/>
      <c r="D472" s="396"/>
      <c r="E472" s="397"/>
      <c r="F472" s="3"/>
      <c r="G472" s="3"/>
      <c r="H472" s="3"/>
      <c r="K472" s="3"/>
    </row>
    <row r="473">
      <c r="B473" s="396"/>
      <c r="C473" s="396"/>
      <c r="D473" s="396"/>
      <c r="E473" s="397"/>
      <c r="F473" s="3"/>
      <c r="G473" s="3"/>
      <c r="H473" s="3"/>
      <c r="K473" s="3"/>
    </row>
    <row r="474">
      <c r="B474" s="396"/>
      <c r="C474" s="396"/>
      <c r="D474" s="396"/>
      <c r="E474" s="397"/>
      <c r="F474" s="3"/>
      <c r="G474" s="3"/>
      <c r="H474" s="3"/>
      <c r="K474" s="3"/>
    </row>
    <row r="475">
      <c r="B475" s="396"/>
      <c r="C475" s="396"/>
      <c r="D475" s="396"/>
      <c r="E475" s="397"/>
      <c r="F475" s="3"/>
      <c r="G475" s="3"/>
      <c r="H475" s="3"/>
      <c r="K475" s="3"/>
    </row>
    <row r="476">
      <c r="B476" s="396"/>
      <c r="C476" s="396"/>
      <c r="D476" s="396"/>
      <c r="E476" s="397"/>
      <c r="F476" s="3"/>
      <c r="G476" s="3"/>
      <c r="H476" s="3"/>
      <c r="K476" s="3"/>
    </row>
    <row r="477">
      <c r="B477" s="396"/>
      <c r="C477" s="396"/>
      <c r="D477" s="396"/>
      <c r="E477" s="397"/>
      <c r="F477" s="3"/>
      <c r="G477" s="3"/>
      <c r="H477" s="3"/>
      <c r="K477" s="3"/>
    </row>
    <row r="478">
      <c r="B478" s="396"/>
      <c r="C478" s="396"/>
      <c r="D478" s="396"/>
      <c r="E478" s="397"/>
      <c r="F478" s="3"/>
      <c r="G478" s="3"/>
      <c r="H478" s="3"/>
      <c r="K478" s="3"/>
    </row>
    <row r="479">
      <c r="B479" s="396"/>
      <c r="C479" s="396"/>
      <c r="D479" s="396"/>
      <c r="E479" s="397"/>
      <c r="F479" s="3"/>
      <c r="G479" s="3"/>
      <c r="H479" s="3"/>
      <c r="K479" s="3"/>
    </row>
    <row r="480">
      <c r="B480" s="396"/>
      <c r="C480" s="396"/>
      <c r="D480" s="396"/>
      <c r="E480" s="397"/>
      <c r="F480" s="3"/>
      <c r="G480" s="3"/>
      <c r="H480" s="3"/>
      <c r="K480" s="3"/>
    </row>
    <row r="481">
      <c r="B481" s="396"/>
      <c r="C481" s="396"/>
      <c r="D481" s="396"/>
      <c r="E481" s="397"/>
      <c r="F481" s="3"/>
      <c r="G481" s="3"/>
      <c r="H481" s="3"/>
      <c r="K481" s="3"/>
    </row>
    <row r="482">
      <c r="B482" s="396"/>
      <c r="C482" s="396"/>
      <c r="D482" s="396"/>
      <c r="E482" s="397"/>
      <c r="F482" s="3"/>
      <c r="G482" s="3"/>
      <c r="H482" s="3"/>
      <c r="K482" s="3"/>
    </row>
    <row r="483">
      <c r="B483" s="396"/>
      <c r="C483" s="396"/>
      <c r="D483" s="396"/>
      <c r="E483" s="397"/>
      <c r="F483" s="3"/>
      <c r="G483" s="3"/>
      <c r="H483" s="3"/>
      <c r="K483" s="3"/>
    </row>
    <row r="484">
      <c r="B484" s="396"/>
      <c r="C484" s="396"/>
      <c r="D484" s="396"/>
      <c r="E484" s="397"/>
      <c r="F484" s="3"/>
      <c r="G484" s="3"/>
      <c r="H484" s="3"/>
      <c r="K484" s="3"/>
    </row>
    <row r="485">
      <c r="B485" s="396"/>
      <c r="C485" s="396"/>
      <c r="D485" s="396"/>
      <c r="E485" s="397"/>
      <c r="F485" s="3"/>
      <c r="G485" s="3"/>
      <c r="H485" s="3"/>
      <c r="K485" s="3"/>
    </row>
    <row r="486">
      <c r="B486" s="396"/>
      <c r="C486" s="396"/>
      <c r="D486" s="396"/>
      <c r="E486" s="397"/>
      <c r="F486" s="3"/>
      <c r="G486" s="3"/>
      <c r="H486" s="3"/>
      <c r="K486" s="3"/>
    </row>
    <row r="487">
      <c r="B487" s="396"/>
      <c r="C487" s="396"/>
      <c r="D487" s="396"/>
      <c r="E487" s="397"/>
      <c r="F487" s="3"/>
      <c r="G487" s="3"/>
      <c r="H487" s="3"/>
      <c r="K487" s="3"/>
    </row>
    <row r="488">
      <c r="B488" s="396"/>
      <c r="C488" s="396"/>
      <c r="D488" s="396"/>
      <c r="E488" s="397"/>
      <c r="F488" s="3"/>
      <c r="G488" s="3"/>
      <c r="H488" s="3"/>
      <c r="K488" s="3"/>
    </row>
    <row r="489">
      <c r="B489" s="396"/>
      <c r="C489" s="396"/>
      <c r="D489" s="396"/>
      <c r="E489" s="397"/>
      <c r="F489" s="3"/>
      <c r="G489" s="3"/>
      <c r="H489" s="3"/>
      <c r="K489" s="3"/>
    </row>
    <row r="490">
      <c r="B490" s="396"/>
      <c r="C490" s="396"/>
      <c r="D490" s="396"/>
      <c r="E490" s="397"/>
      <c r="F490" s="3"/>
      <c r="G490" s="3"/>
      <c r="H490" s="3"/>
      <c r="K490" s="3"/>
    </row>
    <row r="491">
      <c r="B491" s="396"/>
      <c r="C491" s="396"/>
      <c r="D491" s="396"/>
      <c r="E491" s="397"/>
      <c r="F491" s="3"/>
      <c r="G491" s="3"/>
      <c r="H491" s="3"/>
      <c r="K491" s="3"/>
    </row>
    <row r="492">
      <c r="B492" s="396"/>
      <c r="C492" s="396"/>
      <c r="D492" s="396"/>
      <c r="E492" s="397"/>
      <c r="F492" s="3"/>
      <c r="G492" s="3"/>
      <c r="H492" s="3"/>
      <c r="K492" s="3"/>
    </row>
    <row r="493">
      <c r="B493" s="396"/>
      <c r="C493" s="396"/>
      <c r="D493" s="396"/>
      <c r="E493" s="397"/>
      <c r="F493" s="3"/>
      <c r="G493" s="3"/>
      <c r="H493" s="3"/>
      <c r="K493" s="3"/>
    </row>
    <row r="494">
      <c r="B494" s="396"/>
      <c r="C494" s="396"/>
      <c r="D494" s="396"/>
      <c r="E494" s="397"/>
      <c r="F494" s="3"/>
      <c r="G494" s="3"/>
      <c r="H494" s="3"/>
      <c r="K494" s="3"/>
    </row>
    <row r="495">
      <c r="B495" s="396"/>
      <c r="C495" s="396"/>
      <c r="D495" s="396"/>
      <c r="E495" s="397"/>
      <c r="F495" s="3"/>
      <c r="G495" s="3"/>
      <c r="H495" s="3"/>
      <c r="K495" s="3"/>
    </row>
    <row r="496">
      <c r="B496" s="396"/>
      <c r="C496" s="396"/>
      <c r="D496" s="396"/>
      <c r="E496" s="397"/>
      <c r="F496" s="3"/>
      <c r="G496" s="3"/>
      <c r="H496" s="3"/>
      <c r="K496" s="3"/>
    </row>
    <row r="497">
      <c r="B497" s="396"/>
      <c r="C497" s="396"/>
      <c r="D497" s="396"/>
      <c r="E497" s="397"/>
      <c r="F497" s="3"/>
      <c r="G497" s="3"/>
      <c r="H497" s="3"/>
      <c r="K497" s="3"/>
    </row>
    <row r="498">
      <c r="B498" s="396"/>
      <c r="C498" s="396"/>
      <c r="D498" s="396"/>
      <c r="E498" s="397"/>
      <c r="F498" s="3"/>
      <c r="G498" s="3"/>
      <c r="H498" s="3"/>
      <c r="K498" s="3"/>
    </row>
    <row r="499">
      <c r="B499" s="396"/>
      <c r="C499" s="396"/>
      <c r="D499" s="396"/>
      <c r="E499" s="397"/>
      <c r="F499" s="3"/>
      <c r="G499" s="3"/>
      <c r="H499" s="3"/>
      <c r="K499" s="3"/>
    </row>
    <row r="500">
      <c r="B500" s="396"/>
      <c r="C500" s="396"/>
      <c r="D500" s="396"/>
      <c r="E500" s="397"/>
      <c r="F500" s="3"/>
      <c r="G500" s="3"/>
      <c r="H500" s="3"/>
      <c r="K500" s="3"/>
    </row>
    <row r="501">
      <c r="B501" s="396"/>
      <c r="C501" s="396"/>
      <c r="D501" s="396"/>
      <c r="E501" s="397"/>
      <c r="F501" s="3"/>
      <c r="G501" s="3"/>
      <c r="H501" s="3"/>
      <c r="K501" s="3"/>
    </row>
    <row r="502">
      <c r="B502" s="396"/>
      <c r="C502" s="396"/>
      <c r="D502" s="396"/>
      <c r="E502" s="397"/>
      <c r="F502" s="3"/>
      <c r="G502" s="3"/>
      <c r="H502" s="3"/>
      <c r="K502" s="3"/>
    </row>
    <row r="503">
      <c r="B503" s="396"/>
      <c r="C503" s="396"/>
      <c r="D503" s="396"/>
      <c r="E503" s="397"/>
      <c r="F503" s="3"/>
      <c r="G503" s="3"/>
      <c r="H503" s="3"/>
      <c r="K503" s="3"/>
    </row>
    <row r="504">
      <c r="B504" s="396"/>
      <c r="C504" s="396"/>
      <c r="D504" s="396"/>
      <c r="E504" s="397"/>
      <c r="F504" s="3"/>
      <c r="G504" s="3"/>
      <c r="H504" s="3"/>
      <c r="K504" s="3"/>
    </row>
    <row r="505">
      <c r="B505" s="396"/>
      <c r="C505" s="396"/>
      <c r="D505" s="396"/>
      <c r="E505" s="397"/>
      <c r="F505" s="3"/>
      <c r="G505" s="3"/>
      <c r="H505" s="3"/>
      <c r="K505" s="3"/>
    </row>
    <row r="506">
      <c r="B506" s="396"/>
      <c r="C506" s="396"/>
      <c r="D506" s="396"/>
      <c r="E506" s="397"/>
      <c r="F506" s="3"/>
      <c r="G506" s="3"/>
      <c r="H506" s="3"/>
      <c r="K506" s="3"/>
    </row>
    <row r="507">
      <c r="B507" s="396"/>
      <c r="C507" s="396"/>
      <c r="D507" s="396"/>
      <c r="E507" s="397"/>
      <c r="F507" s="3"/>
      <c r="G507" s="3"/>
      <c r="H507" s="3"/>
      <c r="K507" s="3"/>
    </row>
    <row r="508">
      <c r="B508" s="396"/>
      <c r="C508" s="396"/>
      <c r="D508" s="396"/>
      <c r="E508" s="397"/>
      <c r="F508" s="3"/>
      <c r="G508" s="3"/>
      <c r="H508" s="3"/>
      <c r="K508" s="3"/>
    </row>
    <row r="509">
      <c r="B509" s="396"/>
      <c r="C509" s="396"/>
      <c r="D509" s="396"/>
      <c r="E509" s="397"/>
      <c r="F509" s="3"/>
      <c r="G509" s="3"/>
      <c r="H509" s="3"/>
      <c r="K509" s="3"/>
    </row>
    <row r="510">
      <c r="B510" s="396"/>
      <c r="C510" s="396"/>
      <c r="D510" s="396"/>
      <c r="E510" s="397"/>
      <c r="F510" s="3"/>
      <c r="G510" s="3"/>
      <c r="H510" s="3"/>
      <c r="K510" s="3"/>
    </row>
    <row r="511">
      <c r="B511" s="396"/>
      <c r="C511" s="396"/>
      <c r="D511" s="396"/>
      <c r="E511" s="397"/>
      <c r="F511" s="3"/>
      <c r="G511" s="3"/>
      <c r="H511" s="3"/>
      <c r="K511" s="3"/>
    </row>
    <row r="512">
      <c r="B512" s="396"/>
      <c r="C512" s="396"/>
      <c r="D512" s="396"/>
      <c r="E512" s="397"/>
      <c r="F512" s="3"/>
      <c r="G512" s="3"/>
      <c r="H512" s="3"/>
      <c r="K512" s="3"/>
    </row>
    <row r="513">
      <c r="B513" s="396"/>
      <c r="C513" s="396"/>
      <c r="D513" s="396"/>
      <c r="E513" s="397"/>
      <c r="F513" s="3"/>
      <c r="G513" s="3"/>
      <c r="H513" s="3"/>
      <c r="K513" s="3"/>
    </row>
    <row r="514">
      <c r="B514" s="396"/>
      <c r="C514" s="396"/>
      <c r="D514" s="396"/>
      <c r="E514" s="397"/>
      <c r="F514" s="3"/>
      <c r="G514" s="3"/>
      <c r="H514" s="3"/>
      <c r="K514" s="3"/>
    </row>
    <row r="515">
      <c r="B515" s="396"/>
      <c r="C515" s="396"/>
      <c r="D515" s="396"/>
      <c r="E515" s="397"/>
      <c r="F515" s="3"/>
      <c r="G515" s="3"/>
      <c r="H515" s="3"/>
      <c r="K515" s="3"/>
    </row>
    <row r="516">
      <c r="B516" s="396"/>
      <c r="C516" s="396"/>
      <c r="D516" s="396"/>
      <c r="E516" s="397"/>
      <c r="F516" s="3"/>
      <c r="G516" s="3"/>
      <c r="H516" s="3"/>
      <c r="K516" s="3"/>
    </row>
    <row r="517">
      <c r="B517" s="396"/>
      <c r="C517" s="396"/>
      <c r="D517" s="396"/>
      <c r="E517" s="397"/>
      <c r="F517" s="3"/>
      <c r="G517" s="3"/>
      <c r="H517" s="3"/>
      <c r="K517" s="3"/>
    </row>
    <row r="518">
      <c r="B518" s="396"/>
      <c r="C518" s="396"/>
      <c r="D518" s="396"/>
      <c r="E518" s="397"/>
      <c r="F518" s="3"/>
      <c r="G518" s="3"/>
      <c r="H518" s="3"/>
      <c r="K518" s="3"/>
    </row>
    <row r="519">
      <c r="B519" s="396"/>
      <c r="C519" s="396"/>
      <c r="D519" s="396"/>
      <c r="E519" s="397"/>
      <c r="F519" s="3"/>
      <c r="G519" s="3"/>
      <c r="H519" s="3"/>
      <c r="K519" s="3"/>
    </row>
    <row r="520">
      <c r="B520" s="396"/>
      <c r="C520" s="396"/>
      <c r="D520" s="396"/>
      <c r="E520" s="397"/>
      <c r="F520" s="3"/>
      <c r="G520" s="3"/>
      <c r="H520" s="3"/>
      <c r="K520" s="3"/>
    </row>
    <row r="521">
      <c r="B521" s="396"/>
      <c r="C521" s="396"/>
      <c r="D521" s="396"/>
      <c r="E521" s="397"/>
      <c r="F521" s="3"/>
      <c r="G521" s="3"/>
      <c r="H521" s="3"/>
      <c r="K521" s="3"/>
    </row>
    <row r="522">
      <c r="B522" s="396"/>
      <c r="C522" s="396"/>
      <c r="D522" s="396"/>
      <c r="E522" s="397"/>
      <c r="F522" s="3"/>
      <c r="G522" s="3"/>
      <c r="H522" s="3"/>
      <c r="K522" s="3"/>
    </row>
    <row r="523">
      <c r="B523" s="396"/>
      <c r="C523" s="396"/>
      <c r="D523" s="396"/>
      <c r="E523" s="397"/>
      <c r="F523" s="3"/>
      <c r="G523" s="3"/>
      <c r="H523" s="3"/>
      <c r="K523" s="3"/>
    </row>
    <row r="524">
      <c r="B524" s="396"/>
      <c r="C524" s="396"/>
      <c r="D524" s="396"/>
      <c r="E524" s="397"/>
      <c r="F524" s="3"/>
      <c r="G524" s="3"/>
      <c r="H524" s="3"/>
      <c r="K524" s="3"/>
    </row>
    <row r="525">
      <c r="B525" s="396"/>
      <c r="C525" s="396"/>
      <c r="D525" s="396"/>
      <c r="E525" s="397"/>
      <c r="F525" s="3"/>
      <c r="G525" s="3"/>
      <c r="H525" s="3"/>
      <c r="K525" s="3"/>
    </row>
    <row r="526">
      <c r="B526" s="396"/>
      <c r="C526" s="396"/>
      <c r="D526" s="396"/>
      <c r="E526" s="397"/>
      <c r="F526" s="3"/>
      <c r="G526" s="3"/>
      <c r="H526" s="3"/>
      <c r="K526" s="3"/>
    </row>
    <row r="527">
      <c r="B527" s="396"/>
      <c r="C527" s="396"/>
      <c r="D527" s="396"/>
      <c r="E527" s="397"/>
      <c r="F527" s="3"/>
      <c r="G527" s="3"/>
      <c r="H527" s="3"/>
      <c r="K527" s="3"/>
    </row>
    <row r="528">
      <c r="B528" s="396"/>
      <c r="C528" s="396"/>
      <c r="D528" s="396"/>
      <c r="E528" s="397"/>
      <c r="F528" s="3"/>
      <c r="G528" s="3"/>
      <c r="H528" s="3"/>
      <c r="K528" s="3"/>
    </row>
    <row r="529">
      <c r="B529" s="396"/>
      <c r="C529" s="396"/>
      <c r="D529" s="396"/>
      <c r="E529" s="397"/>
      <c r="F529" s="3"/>
      <c r="G529" s="3"/>
      <c r="H529" s="3"/>
      <c r="K529" s="3"/>
    </row>
    <row r="530">
      <c r="B530" s="396"/>
      <c r="C530" s="396"/>
      <c r="D530" s="396"/>
      <c r="E530" s="397"/>
      <c r="F530" s="3"/>
      <c r="G530" s="3"/>
      <c r="H530" s="3"/>
      <c r="K530" s="3"/>
    </row>
    <row r="531">
      <c r="B531" s="396"/>
      <c r="C531" s="396"/>
      <c r="D531" s="396"/>
      <c r="E531" s="397"/>
      <c r="F531" s="3"/>
      <c r="G531" s="3"/>
      <c r="H531" s="3"/>
      <c r="K531" s="3"/>
    </row>
    <row r="532">
      <c r="B532" s="396"/>
      <c r="C532" s="396"/>
      <c r="D532" s="396"/>
      <c r="E532" s="397"/>
      <c r="F532" s="3"/>
      <c r="G532" s="3"/>
      <c r="H532" s="3"/>
      <c r="K532" s="3"/>
    </row>
    <row r="533">
      <c r="B533" s="396"/>
      <c r="C533" s="396"/>
      <c r="D533" s="396"/>
      <c r="E533" s="397"/>
      <c r="F533" s="3"/>
      <c r="G533" s="3"/>
      <c r="H533" s="3"/>
      <c r="K533" s="3"/>
    </row>
    <row r="534">
      <c r="B534" s="396"/>
      <c r="C534" s="396"/>
      <c r="D534" s="396"/>
      <c r="E534" s="397"/>
      <c r="F534" s="3"/>
      <c r="G534" s="3"/>
      <c r="H534" s="3"/>
      <c r="K534" s="3"/>
    </row>
    <row r="535">
      <c r="B535" s="396"/>
      <c r="C535" s="396"/>
      <c r="D535" s="396"/>
      <c r="E535" s="397"/>
      <c r="F535" s="3"/>
      <c r="G535" s="3"/>
      <c r="H535" s="3"/>
      <c r="K535" s="3"/>
    </row>
    <row r="536">
      <c r="B536" s="396"/>
      <c r="C536" s="396"/>
      <c r="D536" s="396"/>
      <c r="E536" s="397"/>
      <c r="F536" s="3"/>
      <c r="G536" s="3"/>
      <c r="H536" s="3"/>
      <c r="K536" s="3"/>
    </row>
    <row r="537">
      <c r="B537" s="396"/>
      <c r="C537" s="396"/>
      <c r="D537" s="396"/>
      <c r="E537" s="397"/>
      <c r="F537" s="3"/>
      <c r="G537" s="3"/>
      <c r="H537" s="3"/>
      <c r="K537" s="3"/>
    </row>
    <row r="538">
      <c r="B538" s="396"/>
      <c r="C538" s="396"/>
      <c r="D538" s="396"/>
      <c r="E538" s="397"/>
      <c r="F538" s="3"/>
      <c r="G538" s="3"/>
      <c r="H538" s="3"/>
      <c r="K538" s="3"/>
    </row>
    <row r="539">
      <c r="B539" s="396"/>
      <c r="C539" s="396"/>
      <c r="D539" s="396"/>
      <c r="E539" s="397"/>
      <c r="F539" s="3"/>
      <c r="G539" s="3"/>
      <c r="H539" s="3"/>
      <c r="K539" s="3"/>
    </row>
    <row r="540">
      <c r="B540" s="396"/>
      <c r="C540" s="396"/>
      <c r="D540" s="396"/>
      <c r="E540" s="397"/>
      <c r="F540" s="3"/>
      <c r="G540" s="3"/>
      <c r="H540" s="3"/>
      <c r="K540" s="3"/>
    </row>
    <row r="541">
      <c r="B541" s="396"/>
      <c r="C541" s="396"/>
      <c r="D541" s="396"/>
      <c r="E541" s="397"/>
      <c r="F541" s="3"/>
      <c r="G541" s="3"/>
      <c r="H541" s="3"/>
      <c r="K541" s="3"/>
    </row>
    <row r="542">
      <c r="B542" s="396"/>
      <c r="C542" s="396"/>
      <c r="D542" s="396"/>
      <c r="E542" s="397"/>
      <c r="F542" s="3"/>
      <c r="G542" s="3"/>
      <c r="H542" s="3"/>
      <c r="K542" s="3"/>
    </row>
    <row r="543">
      <c r="B543" s="396"/>
      <c r="C543" s="396"/>
      <c r="D543" s="396"/>
      <c r="E543" s="397"/>
      <c r="F543" s="3"/>
      <c r="G543" s="3"/>
      <c r="H543" s="3"/>
      <c r="K543" s="3"/>
    </row>
    <row r="544">
      <c r="B544" s="396"/>
      <c r="C544" s="396"/>
      <c r="D544" s="396"/>
      <c r="E544" s="397"/>
      <c r="F544" s="3"/>
      <c r="G544" s="3"/>
      <c r="H544" s="3"/>
      <c r="K544" s="3"/>
    </row>
    <row r="545">
      <c r="B545" s="396"/>
      <c r="C545" s="396"/>
      <c r="D545" s="396"/>
      <c r="E545" s="397"/>
      <c r="F545" s="3"/>
      <c r="G545" s="3"/>
      <c r="H545" s="3"/>
      <c r="K545" s="3"/>
    </row>
    <row r="546">
      <c r="B546" s="396"/>
      <c r="C546" s="396"/>
      <c r="D546" s="396"/>
      <c r="E546" s="397"/>
      <c r="F546" s="3"/>
      <c r="G546" s="3"/>
      <c r="H546" s="3"/>
      <c r="K546" s="3"/>
    </row>
    <row r="547">
      <c r="B547" s="396"/>
      <c r="C547" s="396"/>
      <c r="D547" s="396"/>
      <c r="E547" s="397"/>
      <c r="F547" s="3"/>
      <c r="G547" s="3"/>
      <c r="H547" s="3"/>
      <c r="K547" s="3"/>
    </row>
    <row r="548">
      <c r="B548" s="396"/>
      <c r="C548" s="396"/>
      <c r="D548" s="396"/>
      <c r="E548" s="397"/>
      <c r="F548" s="3"/>
      <c r="G548" s="3"/>
      <c r="H548" s="3"/>
      <c r="K548" s="3"/>
    </row>
    <row r="549">
      <c r="B549" s="396"/>
      <c r="C549" s="396"/>
      <c r="D549" s="396"/>
      <c r="E549" s="397"/>
      <c r="F549" s="3"/>
      <c r="G549" s="3"/>
      <c r="H549" s="3"/>
      <c r="K549" s="3"/>
    </row>
    <row r="550">
      <c r="B550" s="396"/>
      <c r="C550" s="396"/>
      <c r="D550" s="396"/>
      <c r="E550" s="397"/>
      <c r="F550" s="3"/>
      <c r="G550" s="3"/>
      <c r="H550" s="3"/>
      <c r="K550" s="3"/>
    </row>
    <row r="551">
      <c r="B551" s="396"/>
      <c r="C551" s="396"/>
      <c r="D551" s="396"/>
      <c r="E551" s="397"/>
      <c r="F551" s="3"/>
      <c r="G551" s="3"/>
      <c r="H551" s="3"/>
      <c r="K551" s="3"/>
    </row>
    <row r="552">
      <c r="B552" s="396"/>
      <c r="C552" s="396"/>
      <c r="D552" s="396"/>
      <c r="E552" s="397"/>
      <c r="F552" s="3"/>
      <c r="G552" s="3"/>
      <c r="H552" s="3"/>
      <c r="K552" s="3"/>
    </row>
    <row r="553">
      <c r="B553" s="396"/>
      <c r="C553" s="396"/>
      <c r="D553" s="396"/>
      <c r="E553" s="397"/>
      <c r="F553" s="3"/>
      <c r="G553" s="3"/>
      <c r="H553" s="3"/>
      <c r="K553" s="3"/>
    </row>
    <row r="554">
      <c r="B554" s="396"/>
      <c r="C554" s="396"/>
      <c r="D554" s="396"/>
      <c r="E554" s="397"/>
      <c r="F554" s="3"/>
      <c r="G554" s="3"/>
      <c r="H554" s="3"/>
      <c r="K554" s="3"/>
    </row>
    <row r="555">
      <c r="B555" s="396"/>
      <c r="C555" s="396"/>
      <c r="D555" s="396"/>
      <c r="E555" s="397"/>
      <c r="F555" s="3"/>
      <c r="G555" s="3"/>
      <c r="H555" s="3"/>
      <c r="K555" s="3"/>
    </row>
    <row r="556">
      <c r="B556" s="396"/>
      <c r="C556" s="396"/>
      <c r="D556" s="396"/>
      <c r="E556" s="397"/>
      <c r="F556" s="3"/>
      <c r="G556" s="3"/>
      <c r="H556" s="3"/>
      <c r="K556" s="3"/>
    </row>
    <row r="557">
      <c r="B557" s="396"/>
      <c r="C557" s="396"/>
      <c r="D557" s="396"/>
      <c r="E557" s="397"/>
      <c r="F557" s="3"/>
      <c r="G557" s="3"/>
      <c r="H557" s="3"/>
      <c r="K557" s="3"/>
    </row>
    <row r="558">
      <c r="B558" s="396"/>
      <c r="C558" s="396"/>
      <c r="D558" s="396"/>
      <c r="E558" s="397"/>
      <c r="F558" s="3"/>
      <c r="G558" s="3"/>
      <c r="H558" s="3"/>
      <c r="K558" s="3"/>
    </row>
    <row r="559">
      <c r="B559" s="396"/>
      <c r="C559" s="396"/>
      <c r="D559" s="396"/>
      <c r="E559" s="397"/>
      <c r="F559" s="3"/>
      <c r="G559" s="3"/>
      <c r="H559" s="3"/>
      <c r="K559" s="3"/>
    </row>
    <row r="560">
      <c r="B560" s="396"/>
      <c r="C560" s="396"/>
      <c r="D560" s="396"/>
      <c r="E560" s="397"/>
      <c r="F560" s="3"/>
      <c r="G560" s="3"/>
      <c r="H560" s="3"/>
      <c r="K560" s="3"/>
    </row>
    <row r="561">
      <c r="B561" s="396"/>
      <c r="C561" s="396"/>
      <c r="D561" s="396"/>
      <c r="E561" s="397"/>
      <c r="F561" s="3"/>
      <c r="G561" s="3"/>
      <c r="H561" s="3"/>
      <c r="K561" s="3"/>
    </row>
    <row r="562">
      <c r="B562" s="396"/>
      <c r="C562" s="396"/>
      <c r="D562" s="396"/>
      <c r="E562" s="397"/>
      <c r="F562" s="3"/>
      <c r="G562" s="3"/>
      <c r="H562" s="3"/>
      <c r="K562" s="3"/>
    </row>
    <row r="563">
      <c r="B563" s="396"/>
      <c r="C563" s="396"/>
      <c r="D563" s="396"/>
      <c r="E563" s="397"/>
      <c r="F563" s="3"/>
      <c r="G563" s="3"/>
      <c r="H563" s="3"/>
      <c r="K563" s="3"/>
    </row>
    <row r="564">
      <c r="B564" s="396"/>
      <c r="C564" s="396"/>
      <c r="D564" s="396"/>
      <c r="E564" s="397"/>
      <c r="F564" s="3"/>
      <c r="G564" s="3"/>
      <c r="H564" s="3"/>
      <c r="K564" s="3"/>
    </row>
    <row r="565">
      <c r="B565" s="396"/>
      <c r="C565" s="396"/>
      <c r="D565" s="396"/>
      <c r="E565" s="397"/>
      <c r="F565" s="3"/>
      <c r="G565" s="3"/>
      <c r="H565" s="3"/>
      <c r="K565" s="3"/>
    </row>
    <row r="566">
      <c r="B566" s="396"/>
      <c r="C566" s="396"/>
      <c r="D566" s="396"/>
      <c r="E566" s="397"/>
      <c r="F566" s="3"/>
      <c r="G566" s="3"/>
      <c r="H566" s="3"/>
      <c r="K566" s="3"/>
    </row>
    <row r="567">
      <c r="B567" s="396"/>
      <c r="C567" s="396"/>
      <c r="D567" s="396"/>
      <c r="E567" s="397"/>
      <c r="F567" s="3"/>
      <c r="G567" s="3"/>
      <c r="H567" s="3"/>
      <c r="K567" s="3"/>
    </row>
    <row r="568">
      <c r="B568" s="396"/>
      <c r="C568" s="396"/>
      <c r="D568" s="396"/>
      <c r="E568" s="397"/>
      <c r="F568" s="3"/>
      <c r="G568" s="3"/>
      <c r="H568" s="3"/>
      <c r="K568" s="3"/>
    </row>
    <row r="569">
      <c r="B569" s="396"/>
      <c r="C569" s="396"/>
      <c r="D569" s="396"/>
      <c r="E569" s="397"/>
      <c r="F569" s="3"/>
      <c r="G569" s="3"/>
      <c r="H569" s="3"/>
      <c r="K569" s="3"/>
    </row>
    <row r="570">
      <c r="B570" s="396"/>
      <c r="C570" s="396"/>
      <c r="D570" s="396"/>
      <c r="E570" s="397"/>
      <c r="F570" s="3"/>
      <c r="G570" s="3"/>
      <c r="H570" s="3"/>
      <c r="K570" s="3"/>
    </row>
    <row r="571">
      <c r="B571" s="396"/>
      <c r="C571" s="396"/>
      <c r="D571" s="396"/>
      <c r="E571" s="397"/>
      <c r="F571" s="3"/>
      <c r="G571" s="3"/>
      <c r="H571" s="3"/>
      <c r="K571" s="3"/>
    </row>
    <row r="572">
      <c r="B572" s="396"/>
      <c r="C572" s="396"/>
      <c r="D572" s="396"/>
      <c r="E572" s="397"/>
      <c r="F572" s="3"/>
      <c r="G572" s="3"/>
      <c r="H572" s="3"/>
      <c r="K572" s="3"/>
    </row>
    <row r="573">
      <c r="B573" s="396"/>
      <c r="C573" s="396"/>
      <c r="D573" s="396"/>
      <c r="E573" s="397"/>
      <c r="F573" s="3"/>
      <c r="G573" s="3"/>
      <c r="H573" s="3"/>
      <c r="K573" s="3"/>
    </row>
    <row r="574">
      <c r="B574" s="396"/>
      <c r="C574" s="396"/>
      <c r="D574" s="396"/>
      <c r="E574" s="397"/>
      <c r="F574" s="3"/>
      <c r="G574" s="3"/>
      <c r="H574" s="3"/>
      <c r="K574" s="3"/>
    </row>
    <row r="575">
      <c r="B575" s="396"/>
      <c r="C575" s="396"/>
      <c r="D575" s="396"/>
      <c r="E575" s="397"/>
      <c r="F575" s="3"/>
      <c r="G575" s="3"/>
      <c r="H575" s="3"/>
      <c r="K575" s="3"/>
    </row>
    <row r="576">
      <c r="B576" s="396"/>
      <c r="C576" s="396"/>
      <c r="D576" s="396"/>
      <c r="E576" s="397"/>
      <c r="F576" s="3"/>
      <c r="G576" s="3"/>
      <c r="H576" s="3"/>
      <c r="K576" s="3"/>
    </row>
    <row r="577">
      <c r="B577" s="396"/>
      <c r="C577" s="396"/>
      <c r="D577" s="396"/>
      <c r="E577" s="397"/>
      <c r="F577" s="3"/>
      <c r="G577" s="3"/>
      <c r="H577" s="3"/>
      <c r="K577" s="3"/>
    </row>
    <row r="578">
      <c r="B578" s="396"/>
      <c r="C578" s="396"/>
      <c r="D578" s="396"/>
      <c r="E578" s="397"/>
      <c r="F578" s="3"/>
      <c r="G578" s="3"/>
      <c r="H578" s="3"/>
      <c r="K578" s="3"/>
    </row>
    <row r="579">
      <c r="B579" s="396"/>
      <c r="C579" s="396"/>
      <c r="D579" s="396"/>
      <c r="E579" s="397"/>
      <c r="F579" s="3"/>
      <c r="G579" s="3"/>
      <c r="H579" s="3"/>
      <c r="K579" s="3"/>
    </row>
    <row r="580">
      <c r="B580" s="396"/>
      <c r="C580" s="396"/>
      <c r="D580" s="396"/>
      <c r="E580" s="397"/>
      <c r="F580" s="3"/>
      <c r="G580" s="3"/>
      <c r="H580" s="3"/>
      <c r="K580" s="3"/>
    </row>
    <row r="581">
      <c r="B581" s="396"/>
      <c r="C581" s="396"/>
      <c r="D581" s="396"/>
      <c r="E581" s="397"/>
      <c r="F581" s="3"/>
      <c r="G581" s="3"/>
      <c r="H581" s="3"/>
      <c r="K581" s="3"/>
    </row>
    <row r="582">
      <c r="B582" s="396"/>
      <c r="C582" s="396"/>
      <c r="D582" s="396"/>
      <c r="E582" s="397"/>
      <c r="F582" s="3"/>
      <c r="G582" s="3"/>
      <c r="H582" s="3"/>
      <c r="K582" s="3"/>
    </row>
    <row r="583">
      <c r="B583" s="396"/>
      <c r="C583" s="396"/>
      <c r="D583" s="396"/>
      <c r="E583" s="397"/>
      <c r="F583" s="3"/>
      <c r="G583" s="3"/>
      <c r="H583" s="3"/>
      <c r="K583" s="3"/>
    </row>
    <row r="584">
      <c r="B584" s="396"/>
      <c r="C584" s="396"/>
      <c r="D584" s="396"/>
      <c r="E584" s="397"/>
      <c r="F584" s="3"/>
      <c r="G584" s="3"/>
      <c r="H584" s="3"/>
      <c r="K584" s="3"/>
    </row>
    <row r="585">
      <c r="B585" s="396"/>
      <c r="C585" s="396"/>
      <c r="D585" s="396"/>
      <c r="E585" s="397"/>
      <c r="F585" s="3"/>
      <c r="G585" s="3"/>
      <c r="H585" s="3"/>
      <c r="K585" s="3"/>
    </row>
    <row r="586">
      <c r="B586" s="396"/>
      <c r="C586" s="396"/>
      <c r="D586" s="396"/>
      <c r="E586" s="397"/>
      <c r="F586" s="3"/>
      <c r="G586" s="3"/>
      <c r="H586" s="3"/>
      <c r="K586" s="3"/>
    </row>
    <row r="587">
      <c r="B587" s="396"/>
      <c r="C587" s="396"/>
      <c r="D587" s="396"/>
      <c r="E587" s="397"/>
      <c r="F587" s="3"/>
      <c r="G587" s="3"/>
      <c r="H587" s="3"/>
      <c r="K587" s="3"/>
    </row>
    <row r="588">
      <c r="B588" s="396"/>
      <c r="C588" s="396"/>
      <c r="D588" s="396"/>
      <c r="E588" s="397"/>
      <c r="F588" s="3"/>
      <c r="G588" s="3"/>
      <c r="H588" s="3"/>
      <c r="K588" s="3"/>
    </row>
    <row r="589">
      <c r="B589" s="396"/>
      <c r="C589" s="396"/>
      <c r="D589" s="396"/>
      <c r="E589" s="397"/>
      <c r="F589" s="3"/>
      <c r="G589" s="3"/>
      <c r="H589" s="3"/>
      <c r="K589" s="3"/>
    </row>
    <row r="590">
      <c r="B590" s="396"/>
      <c r="C590" s="396"/>
      <c r="D590" s="396"/>
      <c r="E590" s="397"/>
      <c r="F590" s="3"/>
      <c r="G590" s="3"/>
      <c r="H590" s="3"/>
      <c r="K590" s="3"/>
    </row>
    <row r="591">
      <c r="B591" s="396"/>
      <c r="C591" s="396"/>
      <c r="D591" s="396"/>
      <c r="E591" s="397"/>
      <c r="F591" s="3"/>
      <c r="G591" s="3"/>
      <c r="H591" s="3"/>
      <c r="K591" s="3"/>
    </row>
    <row r="592">
      <c r="B592" s="396"/>
      <c r="C592" s="396"/>
      <c r="D592" s="396"/>
      <c r="E592" s="397"/>
      <c r="F592" s="3"/>
      <c r="G592" s="3"/>
      <c r="H592" s="3"/>
      <c r="K592" s="3"/>
    </row>
    <row r="593">
      <c r="B593" s="396"/>
      <c r="C593" s="396"/>
      <c r="D593" s="396"/>
      <c r="E593" s="397"/>
      <c r="F593" s="3"/>
      <c r="G593" s="3"/>
      <c r="H593" s="3"/>
      <c r="K593" s="3"/>
    </row>
    <row r="594">
      <c r="B594" s="396"/>
      <c r="C594" s="396"/>
      <c r="D594" s="396"/>
      <c r="E594" s="397"/>
      <c r="F594" s="3"/>
      <c r="G594" s="3"/>
      <c r="H594" s="3"/>
      <c r="K594" s="3"/>
    </row>
    <row r="595">
      <c r="B595" s="396"/>
      <c r="C595" s="396"/>
      <c r="D595" s="396"/>
      <c r="E595" s="397"/>
      <c r="F595" s="3"/>
      <c r="G595" s="3"/>
      <c r="H595" s="3"/>
      <c r="K595" s="3"/>
    </row>
    <row r="596">
      <c r="B596" s="396"/>
      <c r="C596" s="396"/>
      <c r="D596" s="396"/>
      <c r="E596" s="397"/>
      <c r="F596" s="3"/>
      <c r="G596" s="3"/>
      <c r="H596" s="3"/>
      <c r="K596" s="3"/>
    </row>
    <row r="597">
      <c r="B597" s="396"/>
      <c r="C597" s="396"/>
      <c r="D597" s="396"/>
      <c r="E597" s="397"/>
      <c r="F597" s="3"/>
      <c r="G597" s="3"/>
      <c r="H597" s="3"/>
      <c r="K597" s="3"/>
    </row>
    <row r="598">
      <c r="B598" s="396"/>
      <c r="C598" s="396"/>
      <c r="D598" s="396"/>
      <c r="E598" s="397"/>
      <c r="F598" s="3"/>
      <c r="G598" s="3"/>
      <c r="H598" s="3"/>
      <c r="K598" s="3"/>
    </row>
    <row r="599">
      <c r="B599" s="396"/>
      <c r="C599" s="396"/>
      <c r="D599" s="396"/>
      <c r="E599" s="397"/>
      <c r="F599" s="3"/>
      <c r="G599" s="3"/>
      <c r="H599" s="3"/>
      <c r="K599" s="3"/>
    </row>
    <row r="600">
      <c r="B600" s="396"/>
      <c r="C600" s="396"/>
      <c r="D600" s="396"/>
      <c r="E600" s="397"/>
      <c r="F600" s="3"/>
      <c r="G600" s="3"/>
      <c r="H600" s="3"/>
      <c r="K600" s="3"/>
    </row>
    <row r="601">
      <c r="B601" s="396"/>
      <c r="C601" s="396"/>
      <c r="D601" s="396"/>
      <c r="E601" s="397"/>
      <c r="F601" s="3"/>
      <c r="G601" s="3"/>
      <c r="H601" s="3"/>
      <c r="K601" s="3"/>
    </row>
    <row r="602">
      <c r="B602" s="396"/>
      <c r="C602" s="396"/>
      <c r="D602" s="396"/>
      <c r="E602" s="397"/>
      <c r="F602" s="3"/>
      <c r="G602" s="3"/>
      <c r="H602" s="3"/>
      <c r="K602" s="3"/>
    </row>
    <row r="603">
      <c r="B603" s="396"/>
      <c r="C603" s="396"/>
      <c r="D603" s="396"/>
      <c r="E603" s="397"/>
      <c r="F603" s="3"/>
      <c r="G603" s="3"/>
      <c r="H603" s="3"/>
      <c r="K603" s="3"/>
    </row>
    <row r="604">
      <c r="B604" s="396"/>
      <c r="C604" s="396"/>
      <c r="D604" s="396"/>
      <c r="E604" s="397"/>
      <c r="F604" s="3"/>
      <c r="G604" s="3"/>
      <c r="H604" s="3"/>
      <c r="K604" s="3"/>
    </row>
    <row r="605">
      <c r="B605" s="396"/>
      <c r="C605" s="396"/>
      <c r="D605" s="396"/>
      <c r="E605" s="397"/>
      <c r="F605" s="3"/>
      <c r="G605" s="3"/>
      <c r="H605" s="3"/>
      <c r="K605" s="3"/>
    </row>
    <row r="606">
      <c r="B606" s="396"/>
      <c r="C606" s="396"/>
      <c r="D606" s="396"/>
      <c r="E606" s="397"/>
      <c r="F606" s="3"/>
      <c r="G606" s="3"/>
      <c r="H606" s="3"/>
      <c r="K606" s="3"/>
    </row>
    <row r="607">
      <c r="B607" s="396"/>
      <c r="C607" s="396"/>
      <c r="D607" s="396"/>
      <c r="E607" s="397"/>
      <c r="F607" s="3"/>
      <c r="G607" s="3"/>
      <c r="H607" s="3"/>
      <c r="K607" s="3"/>
    </row>
    <row r="608">
      <c r="B608" s="396"/>
      <c r="C608" s="396"/>
      <c r="D608" s="396"/>
      <c r="E608" s="397"/>
      <c r="F608" s="3"/>
      <c r="G608" s="3"/>
      <c r="H608" s="3"/>
      <c r="K608" s="3"/>
    </row>
    <row r="609">
      <c r="B609" s="396"/>
      <c r="C609" s="396"/>
      <c r="D609" s="396"/>
      <c r="E609" s="397"/>
      <c r="F609" s="3"/>
      <c r="G609" s="3"/>
      <c r="H609" s="3"/>
      <c r="K609" s="3"/>
    </row>
    <row r="610">
      <c r="B610" s="396"/>
      <c r="C610" s="396"/>
      <c r="D610" s="396"/>
      <c r="E610" s="397"/>
      <c r="F610" s="3"/>
      <c r="G610" s="3"/>
      <c r="H610" s="3"/>
      <c r="K610" s="3"/>
    </row>
    <row r="611">
      <c r="B611" s="396"/>
      <c r="C611" s="396"/>
      <c r="D611" s="396"/>
      <c r="E611" s="397"/>
      <c r="F611" s="3"/>
      <c r="G611" s="3"/>
      <c r="H611" s="3"/>
      <c r="K611" s="3"/>
    </row>
    <row r="612">
      <c r="B612" s="396"/>
      <c r="C612" s="396"/>
      <c r="D612" s="396"/>
      <c r="E612" s="397"/>
      <c r="F612" s="3"/>
      <c r="G612" s="3"/>
      <c r="H612" s="3"/>
      <c r="K612" s="3"/>
    </row>
    <row r="613">
      <c r="B613" s="396"/>
      <c r="C613" s="396"/>
      <c r="D613" s="396"/>
      <c r="E613" s="397"/>
      <c r="F613" s="3"/>
      <c r="G613" s="3"/>
      <c r="H613" s="3"/>
      <c r="K613" s="3"/>
    </row>
    <row r="614">
      <c r="B614" s="396"/>
      <c r="C614" s="396"/>
      <c r="D614" s="396"/>
      <c r="E614" s="397"/>
      <c r="F614" s="3"/>
      <c r="G614" s="3"/>
      <c r="H614" s="3"/>
      <c r="K614" s="3"/>
    </row>
    <row r="615">
      <c r="B615" s="396"/>
      <c r="C615" s="396"/>
      <c r="D615" s="396"/>
      <c r="E615" s="397"/>
      <c r="F615" s="3"/>
      <c r="G615" s="3"/>
      <c r="H615" s="3"/>
      <c r="K615" s="3"/>
    </row>
    <row r="616">
      <c r="B616" s="396"/>
      <c r="C616" s="396"/>
      <c r="D616" s="396"/>
      <c r="E616" s="397"/>
      <c r="F616" s="3"/>
      <c r="G616" s="3"/>
      <c r="H616" s="3"/>
      <c r="K616" s="3"/>
    </row>
    <row r="617">
      <c r="B617" s="396"/>
      <c r="C617" s="396"/>
      <c r="D617" s="396"/>
      <c r="E617" s="397"/>
      <c r="F617" s="3"/>
      <c r="G617" s="3"/>
      <c r="H617" s="3"/>
      <c r="K617" s="3"/>
    </row>
    <row r="618">
      <c r="B618" s="396"/>
      <c r="C618" s="396"/>
      <c r="D618" s="396"/>
      <c r="E618" s="397"/>
      <c r="F618" s="3"/>
      <c r="G618" s="3"/>
      <c r="H618" s="3"/>
      <c r="K618" s="3"/>
    </row>
    <row r="619">
      <c r="B619" s="396"/>
      <c r="C619" s="396"/>
      <c r="D619" s="396"/>
      <c r="E619" s="397"/>
      <c r="F619" s="3"/>
      <c r="G619" s="3"/>
      <c r="H619" s="3"/>
      <c r="K619" s="3"/>
    </row>
    <row r="620">
      <c r="B620" s="396"/>
      <c r="C620" s="396"/>
      <c r="D620" s="396"/>
      <c r="E620" s="397"/>
      <c r="F620" s="3"/>
      <c r="G620" s="3"/>
      <c r="H620" s="3"/>
      <c r="K620" s="3"/>
    </row>
    <row r="621">
      <c r="B621" s="396"/>
      <c r="C621" s="396"/>
      <c r="D621" s="396"/>
      <c r="E621" s="397"/>
      <c r="F621" s="3"/>
      <c r="G621" s="3"/>
      <c r="H621" s="3"/>
      <c r="K621" s="3"/>
    </row>
    <row r="622">
      <c r="B622" s="396"/>
      <c r="C622" s="396"/>
      <c r="D622" s="396"/>
      <c r="E622" s="397"/>
      <c r="F622" s="3"/>
      <c r="G622" s="3"/>
      <c r="H622" s="3"/>
      <c r="K622" s="3"/>
    </row>
    <row r="623">
      <c r="B623" s="396"/>
      <c r="C623" s="396"/>
      <c r="D623" s="396"/>
      <c r="E623" s="397"/>
      <c r="F623" s="3"/>
      <c r="G623" s="3"/>
      <c r="H623" s="3"/>
      <c r="K623" s="3"/>
    </row>
    <row r="624">
      <c r="B624" s="396"/>
      <c r="C624" s="396"/>
      <c r="D624" s="396"/>
      <c r="E624" s="397"/>
      <c r="F624" s="3"/>
      <c r="G624" s="3"/>
      <c r="H624" s="3"/>
      <c r="K624" s="3"/>
    </row>
    <row r="625">
      <c r="B625" s="396"/>
      <c r="C625" s="396"/>
      <c r="D625" s="396"/>
      <c r="E625" s="397"/>
      <c r="F625" s="3"/>
      <c r="G625" s="3"/>
      <c r="H625" s="3"/>
      <c r="K625" s="3"/>
    </row>
    <row r="626">
      <c r="B626" s="396"/>
      <c r="C626" s="396"/>
      <c r="D626" s="396"/>
      <c r="E626" s="397"/>
      <c r="F626" s="3"/>
      <c r="G626" s="3"/>
      <c r="H626" s="3"/>
      <c r="K626" s="3"/>
    </row>
    <row r="627">
      <c r="B627" s="396"/>
      <c r="C627" s="396"/>
      <c r="D627" s="396"/>
      <c r="E627" s="397"/>
      <c r="F627" s="3"/>
      <c r="G627" s="3"/>
      <c r="H627" s="3"/>
      <c r="K627" s="3"/>
    </row>
    <row r="628">
      <c r="B628" s="396"/>
      <c r="C628" s="396"/>
      <c r="D628" s="396"/>
      <c r="E628" s="397"/>
      <c r="F628" s="3"/>
      <c r="G628" s="3"/>
      <c r="H628" s="3"/>
      <c r="K628" s="3"/>
    </row>
    <row r="629">
      <c r="B629" s="396"/>
      <c r="C629" s="396"/>
      <c r="D629" s="396"/>
      <c r="E629" s="397"/>
      <c r="F629" s="3"/>
      <c r="G629" s="3"/>
      <c r="H629" s="3"/>
      <c r="K629" s="3"/>
    </row>
    <row r="630">
      <c r="B630" s="396"/>
      <c r="C630" s="396"/>
      <c r="D630" s="396"/>
      <c r="E630" s="397"/>
      <c r="F630" s="3"/>
      <c r="G630" s="3"/>
      <c r="H630" s="3"/>
      <c r="K630" s="3"/>
    </row>
    <row r="631">
      <c r="B631" s="396"/>
      <c r="C631" s="396"/>
      <c r="D631" s="396"/>
      <c r="E631" s="397"/>
      <c r="F631" s="3"/>
      <c r="G631" s="3"/>
      <c r="H631" s="3"/>
      <c r="K631" s="3"/>
    </row>
    <row r="632">
      <c r="B632" s="396"/>
      <c r="C632" s="396"/>
      <c r="D632" s="396"/>
      <c r="E632" s="397"/>
      <c r="F632" s="3"/>
      <c r="G632" s="3"/>
      <c r="H632" s="3"/>
      <c r="K632" s="3"/>
    </row>
    <row r="633">
      <c r="B633" s="396"/>
      <c r="C633" s="396"/>
      <c r="D633" s="396"/>
      <c r="E633" s="397"/>
      <c r="F633" s="3"/>
      <c r="G633" s="3"/>
      <c r="H633" s="3"/>
      <c r="K633" s="3"/>
    </row>
    <row r="634">
      <c r="B634" s="396"/>
      <c r="C634" s="396"/>
      <c r="D634" s="396"/>
      <c r="E634" s="397"/>
      <c r="F634" s="3"/>
      <c r="G634" s="3"/>
      <c r="H634" s="3"/>
      <c r="K634" s="3"/>
    </row>
    <row r="635">
      <c r="B635" s="396"/>
      <c r="C635" s="396"/>
      <c r="D635" s="396"/>
      <c r="E635" s="397"/>
      <c r="F635" s="3"/>
      <c r="G635" s="3"/>
      <c r="H635" s="3"/>
      <c r="K635" s="3"/>
    </row>
    <row r="636">
      <c r="B636" s="396"/>
      <c r="C636" s="396"/>
      <c r="D636" s="396"/>
      <c r="E636" s="397"/>
      <c r="F636" s="3"/>
      <c r="G636" s="3"/>
      <c r="H636" s="3"/>
      <c r="K636" s="3"/>
    </row>
    <row r="637">
      <c r="B637" s="396"/>
      <c r="C637" s="396"/>
      <c r="D637" s="396"/>
      <c r="E637" s="397"/>
      <c r="F637" s="3"/>
      <c r="G637" s="3"/>
      <c r="H637" s="3"/>
      <c r="K637" s="3"/>
    </row>
    <row r="638">
      <c r="B638" s="396"/>
      <c r="C638" s="396"/>
      <c r="D638" s="396"/>
      <c r="E638" s="397"/>
      <c r="F638" s="3"/>
      <c r="G638" s="3"/>
      <c r="H638" s="3"/>
      <c r="K638" s="3"/>
    </row>
    <row r="639">
      <c r="B639" s="396"/>
      <c r="C639" s="396"/>
      <c r="D639" s="396"/>
      <c r="E639" s="397"/>
      <c r="F639" s="3"/>
      <c r="G639" s="3"/>
      <c r="H639" s="3"/>
      <c r="K639" s="3"/>
    </row>
    <row r="640">
      <c r="B640" s="396"/>
      <c r="C640" s="396"/>
      <c r="D640" s="396"/>
      <c r="E640" s="397"/>
      <c r="F640" s="3"/>
      <c r="G640" s="3"/>
      <c r="H640" s="3"/>
      <c r="K640" s="3"/>
    </row>
    <row r="641">
      <c r="B641" s="396"/>
      <c r="C641" s="396"/>
      <c r="D641" s="396"/>
      <c r="E641" s="397"/>
      <c r="F641" s="3"/>
      <c r="G641" s="3"/>
      <c r="H641" s="3"/>
      <c r="K641" s="3"/>
    </row>
    <row r="642">
      <c r="B642" s="396"/>
      <c r="C642" s="396"/>
      <c r="D642" s="396"/>
      <c r="E642" s="397"/>
      <c r="F642" s="3"/>
      <c r="G642" s="3"/>
      <c r="H642" s="3"/>
      <c r="K642" s="3"/>
    </row>
    <row r="643">
      <c r="B643" s="396"/>
      <c r="C643" s="396"/>
      <c r="D643" s="396"/>
      <c r="E643" s="397"/>
      <c r="F643" s="3"/>
      <c r="G643" s="3"/>
      <c r="H643" s="3"/>
      <c r="K643" s="3"/>
    </row>
    <row r="644">
      <c r="B644" s="396"/>
      <c r="C644" s="396"/>
      <c r="D644" s="396"/>
      <c r="E644" s="397"/>
      <c r="F644" s="3"/>
      <c r="G644" s="3"/>
      <c r="H644" s="3"/>
      <c r="K644" s="3"/>
    </row>
    <row r="645">
      <c r="B645" s="396"/>
      <c r="C645" s="396"/>
      <c r="D645" s="396"/>
      <c r="E645" s="397"/>
      <c r="F645" s="3"/>
      <c r="G645" s="3"/>
      <c r="H645" s="3"/>
      <c r="K645" s="3"/>
    </row>
    <row r="646">
      <c r="B646" s="396"/>
      <c r="C646" s="396"/>
      <c r="D646" s="396"/>
      <c r="E646" s="397"/>
      <c r="F646" s="3"/>
      <c r="G646" s="3"/>
      <c r="H646" s="3"/>
      <c r="K646" s="3"/>
    </row>
    <row r="647">
      <c r="B647" s="396"/>
      <c r="C647" s="396"/>
      <c r="D647" s="396"/>
      <c r="E647" s="397"/>
      <c r="F647" s="3"/>
      <c r="G647" s="3"/>
      <c r="H647" s="3"/>
      <c r="K647" s="3"/>
    </row>
    <row r="648">
      <c r="B648" s="396"/>
      <c r="C648" s="396"/>
      <c r="D648" s="396"/>
      <c r="E648" s="397"/>
      <c r="F648" s="3"/>
      <c r="G648" s="3"/>
      <c r="H648" s="3"/>
      <c r="K648" s="3"/>
    </row>
    <row r="649">
      <c r="B649" s="396"/>
      <c r="C649" s="396"/>
      <c r="D649" s="396"/>
      <c r="E649" s="397"/>
      <c r="F649" s="3"/>
      <c r="G649" s="3"/>
      <c r="H649" s="3"/>
      <c r="K649" s="3"/>
    </row>
    <row r="650">
      <c r="B650" s="396"/>
      <c r="C650" s="396"/>
      <c r="D650" s="396"/>
      <c r="E650" s="397"/>
      <c r="F650" s="3"/>
      <c r="G650" s="3"/>
      <c r="H650" s="3"/>
      <c r="K650" s="3"/>
    </row>
    <row r="651">
      <c r="B651" s="396"/>
      <c r="C651" s="396"/>
      <c r="D651" s="396"/>
      <c r="E651" s="397"/>
      <c r="F651" s="3"/>
      <c r="G651" s="3"/>
      <c r="H651" s="3"/>
      <c r="K651" s="3"/>
    </row>
    <row r="652">
      <c r="B652" s="396"/>
      <c r="C652" s="396"/>
      <c r="D652" s="396"/>
      <c r="E652" s="397"/>
      <c r="F652" s="3"/>
      <c r="G652" s="3"/>
      <c r="H652" s="3"/>
      <c r="K652" s="3"/>
    </row>
    <row r="653">
      <c r="B653" s="396"/>
      <c r="C653" s="396"/>
      <c r="D653" s="396"/>
      <c r="E653" s="397"/>
      <c r="F653" s="3"/>
      <c r="G653" s="3"/>
      <c r="H653" s="3"/>
      <c r="K653" s="3"/>
    </row>
    <row r="654">
      <c r="B654" s="396"/>
      <c r="C654" s="396"/>
      <c r="D654" s="396"/>
      <c r="E654" s="397"/>
      <c r="F654" s="3"/>
      <c r="G654" s="3"/>
      <c r="H654" s="3"/>
      <c r="K654" s="3"/>
    </row>
    <row r="655">
      <c r="B655" s="396"/>
      <c r="C655" s="396"/>
      <c r="D655" s="396"/>
      <c r="E655" s="397"/>
      <c r="F655" s="3"/>
      <c r="G655" s="3"/>
      <c r="H655" s="3"/>
      <c r="K655" s="3"/>
    </row>
    <row r="656">
      <c r="B656" s="396"/>
      <c r="C656" s="396"/>
      <c r="D656" s="396"/>
      <c r="E656" s="397"/>
      <c r="F656" s="3"/>
      <c r="G656" s="3"/>
      <c r="H656" s="3"/>
      <c r="K656" s="3"/>
    </row>
    <row r="657">
      <c r="B657" s="396"/>
      <c r="C657" s="396"/>
      <c r="D657" s="396"/>
      <c r="E657" s="397"/>
      <c r="F657" s="3"/>
      <c r="G657" s="3"/>
      <c r="H657" s="3"/>
      <c r="K657" s="3"/>
    </row>
    <row r="658">
      <c r="B658" s="396"/>
      <c r="C658" s="396"/>
      <c r="D658" s="396"/>
      <c r="E658" s="397"/>
      <c r="F658" s="3"/>
      <c r="G658" s="3"/>
      <c r="H658" s="3"/>
      <c r="K658" s="3"/>
    </row>
    <row r="659">
      <c r="B659" s="396"/>
      <c r="C659" s="396"/>
      <c r="D659" s="396"/>
      <c r="E659" s="397"/>
      <c r="F659" s="3"/>
      <c r="G659" s="3"/>
      <c r="H659" s="3"/>
      <c r="K659" s="3"/>
    </row>
    <row r="660">
      <c r="B660" s="396"/>
      <c r="C660" s="396"/>
      <c r="D660" s="396"/>
      <c r="E660" s="397"/>
      <c r="F660" s="3"/>
      <c r="G660" s="3"/>
      <c r="H660" s="3"/>
      <c r="K660" s="3"/>
    </row>
    <row r="661">
      <c r="B661" s="396"/>
      <c r="C661" s="396"/>
      <c r="D661" s="396"/>
      <c r="E661" s="397"/>
      <c r="F661" s="3"/>
      <c r="G661" s="3"/>
      <c r="H661" s="3"/>
      <c r="K661" s="3"/>
    </row>
    <row r="662">
      <c r="B662" s="396"/>
      <c r="C662" s="396"/>
      <c r="D662" s="396"/>
      <c r="E662" s="397"/>
      <c r="F662" s="3"/>
      <c r="G662" s="3"/>
      <c r="H662" s="3"/>
      <c r="K662" s="3"/>
    </row>
    <row r="663">
      <c r="B663" s="396"/>
      <c r="C663" s="396"/>
      <c r="D663" s="396"/>
      <c r="E663" s="397"/>
      <c r="F663" s="3"/>
      <c r="G663" s="3"/>
      <c r="H663" s="3"/>
      <c r="K663" s="3"/>
    </row>
    <row r="664">
      <c r="B664" s="396"/>
      <c r="C664" s="396"/>
      <c r="D664" s="396"/>
      <c r="E664" s="397"/>
      <c r="F664" s="3"/>
      <c r="G664" s="3"/>
      <c r="H664" s="3"/>
      <c r="K664" s="3"/>
    </row>
    <row r="665">
      <c r="B665" s="396"/>
      <c r="C665" s="396"/>
      <c r="D665" s="396"/>
      <c r="E665" s="397"/>
      <c r="F665" s="3"/>
      <c r="G665" s="3"/>
      <c r="H665" s="3"/>
      <c r="K665" s="3"/>
    </row>
    <row r="666">
      <c r="B666" s="396"/>
      <c r="C666" s="396"/>
      <c r="D666" s="396"/>
      <c r="E666" s="397"/>
      <c r="F666" s="3"/>
      <c r="G666" s="3"/>
      <c r="H666" s="3"/>
      <c r="K666" s="3"/>
    </row>
    <row r="667">
      <c r="B667" s="396"/>
      <c r="C667" s="396"/>
      <c r="D667" s="396"/>
      <c r="E667" s="397"/>
      <c r="F667" s="3"/>
      <c r="G667" s="3"/>
      <c r="H667" s="3"/>
      <c r="K667" s="3"/>
    </row>
    <row r="668">
      <c r="B668" s="396"/>
      <c r="C668" s="396"/>
      <c r="D668" s="396"/>
      <c r="E668" s="397"/>
      <c r="F668" s="3"/>
      <c r="G668" s="3"/>
      <c r="H668" s="3"/>
      <c r="K668" s="3"/>
    </row>
    <row r="669">
      <c r="B669" s="396"/>
      <c r="C669" s="396"/>
      <c r="D669" s="396"/>
      <c r="E669" s="397"/>
      <c r="F669" s="3"/>
      <c r="G669" s="3"/>
      <c r="H669" s="3"/>
      <c r="K669" s="3"/>
    </row>
    <row r="670">
      <c r="B670" s="396"/>
      <c r="C670" s="396"/>
      <c r="D670" s="396"/>
      <c r="E670" s="397"/>
      <c r="F670" s="3"/>
      <c r="G670" s="3"/>
      <c r="H670" s="3"/>
      <c r="K670" s="3"/>
    </row>
    <row r="671">
      <c r="B671" s="396"/>
      <c r="C671" s="396"/>
      <c r="D671" s="396"/>
      <c r="E671" s="397"/>
      <c r="F671" s="3"/>
      <c r="G671" s="3"/>
      <c r="H671" s="3"/>
      <c r="K671" s="3"/>
    </row>
    <row r="672">
      <c r="B672" s="396"/>
      <c r="C672" s="396"/>
      <c r="D672" s="396"/>
      <c r="E672" s="397"/>
      <c r="F672" s="3"/>
      <c r="G672" s="3"/>
      <c r="H672" s="3"/>
      <c r="K672" s="3"/>
    </row>
    <row r="673">
      <c r="B673" s="396"/>
      <c r="C673" s="396"/>
      <c r="D673" s="396"/>
      <c r="E673" s="397"/>
      <c r="F673" s="3"/>
      <c r="G673" s="3"/>
      <c r="H673" s="3"/>
      <c r="K673" s="3"/>
    </row>
    <row r="674">
      <c r="B674" s="396"/>
      <c r="C674" s="396"/>
      <c r="D674" s="396"/>
      <c r="E674" s="397"/>
      <c r="F674" s="3"/>
      <c r="G674" s="3"/>
      <c r="H674" s="3"/>
      <c r="K674" s="3"/>
    </row>
    <row r="675">
      <c r="B675" s="396"/>
      <c r="C675" s="396"/>
      <c r="D675" s="396"/>
      <c r="E675" s="397"/>
      <c r="F675" s="3"/>
      <c r="G675" s="3"/>
      <c r="H675" s="3"/>
      <c r="K675" s="3"/>
    </row>
    <row r="676">
      <c r="B676" s="396"/>
      <c r="C676" s="396"/>
      <c r="D676" s="396"/>
      <c r="E676" s="397"/>
      <c r="F676" s="3"/>
      <c r="G676" s="3"/>
      <c r="H676" s="3"/>
      <c r="K676" s="3"/>
    </row>
    <row r="677">
      <c r="B677" s="396"/>
      <c r="C677" s="396"/>
      <c r="D677" s="396"/>
      <c r="E677" s="397"/>
      <c r="F677" s="3"/>
      <c r="G677" s="3"/>
      <c r="H677" s="3"/>
      <c r="K677" s="3"/>
    </row>
    <row r="678">
      <c r="B678" s="396"/>
      <c r="C678" s="396"/>
      <c r="D678" s="396"/>
      <c r="E678" s="397"/>
      <c r="F678" s="3"/>
      <c r="G678" s="3"/>
      <c r="H678" s="3"/>
      <c r="K678" s="3"/>
    </row>
    <row r="679">
      <c r="B679" s="396"/>
      <c r="C679" s="396"/>
      <c r="D679" s="396"/>
      <c r="E679" s="397"/>
      <c r="F679" s="3"/>
      <c r="G679" s="3"/>
      <c r="H679" s="3"/>
      <c r="K679" s="3"/>
    </row>
    <row r="680">
      <c r="B680" s="396"/>
      <c r="C680" s="396"/>
      <c r="D680" s="396"/>
      <c r="E680" s="397"/>
      <c r="F680" s="3"/>
      <c r="G680" s="3"/>
      <c r="H680" s="3"/>
      <c r="K680" s="3"/>
    </row>
    <row r="681">
      <c r="B681" s="396"/>
      <c r="C681" s="396"/>
      <c r="D681" s="396"/>
      <c r="E681" s="397"/>
      <c r="F681" s="3"/>
      <c r="G681" s="3"/>
      <c r="H681" s="3"/>
      <c r="K681" s="3"/>
    </row>
    <row r="682">
      <c r="B682" s="396"/>
      <c r="C682" s="396"/>
      <c r="D682" s="396"/>
      <c r="E682" s="397"/>
      <c r="F682" s="3"/>
      <c r="G682" s="3"/>
      <c r="H682" s="3"/>
      <c r="K682" s="3"/>
    </row>
    <row r="683">
      <c r="B683" s="396"/>
      <c r="C683" s="396"/>
      <c r="D683" s="396"/>
      <c r="E683" s="397"/>
      <c r="F683" s="3"/>
      <c r="G683" s="3"/>
      <c r="H683" s="3"/>
      <c r="K683" s="3"/>
    </row>
    <row r="684">
      <c r="B684" s="396"/>
      <c r="C684" s="396"/>
      <c r="D684" s="396"/>
      <c r="E684" s="397"/>
      <c r="F684" s="3"/>
      <c r="G684" s="3"/>
      <c r="H684" s="3"/>
      <c r="K684" s="3"/>
    </row>
    <row r="685">
      <c r="B685" s="396"/>
      <c r="C685" s="396"/>
      <c r="D685" s="396"/>
      <c r="E685" s="397"/>
      <c r="F685" s="3"/>
      <c r="G685" s="3"/>
      <c r="H685" s="3"/>
      <c r="K685" s="3"/>
    </row>
    <row r="686">
      <c r="B686" s="396"/>
      <c r="C686" s="396"/>
      <c r="D686" s="396"/>
      <c r="E686" s="397"/>
      <c r="F686" s="3"/>
      <c r="G686" s="3"/>
      <c r="H686" s="3"/>
      <c r="K686" s="3"/>
    </row>
    <row r="687">
      <c r="B687" s="396"/>
      <c r="C687" s="396"/>
      <c r="D687" s="396"/>
      <c r="E687" s="397"/>
      <c r="F687" s="3"/>
      <c r="G687" s="3"/>
      <c r="H687" s="3"/>
      <c r="K687" s="3"/>
    </row>
    <row r="688">
      <c r="B688" s="396"/>
      <c r="C688" s="396"/>
      <c r="D688" s="396"/>
      <c r="E688" s="397"/>
      <c r="F688" s="3"/>
      <c r="G688" s="3"/>
      <c r="H688" s="3"/>
      <c r="K688" s="3"/>
    </row>
    <row r="689">
      <c r="B689" s="396"/>
      <c r="C689" s="396"/>
      <c r="D689" s="396"/>
      <c r="E689" s="397"/>
      <c r="F689" s="3"/>
      <c r="G689" s="3"/>
      <c r="H689" s="3"/>
      <c r="K689" s="3"/>
    </row>
    <row r="690">
      <c r="B690" s="396"/>
      <c r="C690" s="396"/>
      <c r="D690" s="396"/>
      <c r="E690" s="397"/>
      <c r="F690" s="3"/>
      <c r="G690" s="3"/>
      <c r="H690" s="3"/>
      <c r="K690" s="3"/>
    </row>
    <row r="691">
      <c r="B691" s="396"/>
      <c r="C691" s="396"/>
      <c r="D691" s="396"/>
      <c r="E691" s="397"/>
      <c r="F691" s="3"/>
      <c r="G691" s="3"/>
      <c r="H691" s="3"/>
      <c r="K691" s="3"/>
    </row>
    <row r="692">
      <c r="B692" s="396"/>
      <c r="C692" s="396"/>
      <c r="D692" s="396"/>
      <c r="E692" s="397"/>
      <c r="F692" s="3"/>
      <c r="G692" s="3"/>
      <c r="H692" s="3"/>
      <c r="K692" s="3"/>
    </row>
    <row r="693">
      <c r="B693" s="396"/>
      <c r="C693" s="396"/>
      <c r="D693" s="396"/>
      <c r="E693" s="397"/>
      <c r="F693" s="3"/>
      <c r="G693" s="3"/>
      <c r="H693" s="3"/>
      <c r="K693" s="3"/>
    </row>
    <row r="694">
      <c r="B694" s="396"/>
      <c r="C694" s="396"/>
      <c r="D694" s="396"/>
      <c r="E694" s="397"/>
      <c r="F694" s="3"/>
      <c r="G694" s="3"/>
      <c r="H694" s="3"/>
      <c r="K694" s="3"/>
    </row>
    <row r="695">
      <c r="B695" s="396"/>
      <c r="C695" s="396"/>
      <c r="D695" s="396"/>
      <c r="E695" s="397"/>
      <c r="F695" s="3"/>
      <c r="G695" s="3"/>
      <c r="H695" s="3"/>
      <c r="K695" s="3"/>
    </row>
    <row r="696">
      <c r="B696" s="396"/>
      <c r="C696" s="396"/>
      <c r="D696" s="396"/>
      <c r="E696" s="397"/>
      <c r="F696" s="3"/>
      <c r="G696" s="3"/>
      <c r="H696" s="3"/>
      <c r="K696" s="3"/>
    </row>
    <row r="697">
      <c r="B697" s="396"/>
      <c r="C697" s="396"/>
      <c r="D697" s="396"/>
      <c r="E697" s="397"/>
      <c r="F697" s="3"/>
      <c r="G697" s="3"/>
      <c r="H697" s="3"/>
      <c r="K697" s="3"/>
    </row>
    <row r="698">
      <c r="B698" s="396"/>
      <c r="C698" s="396"/>
      <c r="D698" s="396"/>
      <c r="E698" s="397"/>
      <c r="F698" s="3"/>
      <c r="G698" s="3"/>
      <c r="H698" s="3"/>
      <c r="K698" s="3"/>
    </row>
    <row r="699">
      <c r="B699" s="396"/>
      <c r="C699" s="396"/>
      <c r="D699" s="396"/>
      <c r="E699" s="397"/>
      <c r="F699" s="3"/>
      <c r="G699" s="3"/>
      <c r="H699" s="3"/>
      <c r="K699" s="3"/>
    </row>
    <row r="700">
      <c r="B700" s="396"/>
      <c r="C700" s="396"/>
      <c r="D700" s="396"/>
      <c r="E700" s="397"/>
      <c r="F700" s="3"/>
      <c r="G700" s="3"/>
      <c r="H700" s="3"/>
      <c r="K700" s="3"/>
    </row>
    <row r="701">
      <c r="B701" s="396"/>
      <c r="C701" s="396"/>
      <c r="D701" s="396"/>
      <c r="E701" s="397"/>
      <c r="F701" s="3"/>
      <c r="G701" s="3"/>
      <c r="H701" s="3"/>
      <c r="K701" s="3"/>
    </row>
    <row r="702">
      <c r="B702" s="396"/>
      <c r="C702" s="396"/>
      <c r="D702" s="396"/>
      <c r="E702" s="397"/>
      <c r="F702" s="3"/>
      <c r="G702" s="3"/>
      <c r="H702" s="3"/>
      <c r="K702" s="3"/>
    </row>
    <row r="703">
      <c r="B703" s="396"/>
      <c r="C703" s="396"/>
      <c r="D703" s="396"/>
      <c r="E703" s="397"/>
      <c r="F703" s="3"/>
      <c r="G703" s="3"/>
      <c r="H703" s="3"/>
      <c r="K703" s="3"/>
    </row>
    <row r="704">
      <c r="B704" s="396"/>
      <c r="C704" s="396"/>
      <c r="D704" s="396"/>
      <c r="E704" s="397"/>
      <c r="F704" s="3"/>
      <c r="G704" s="3"/>
      <c r="H704" s="3"/>
      <c r="K704" s="3"/>
    </row>
    <row r="705">
      <c r="B705" s="396"/>
      <c r="C705" s="396"/>
      <c r="D705" s="396"/>
      <c r="E705" s="397"/>
      <c r="F705" s="3"/>
      <c r="G705" s="3"/>
      <c r="H705" s="3"/>
      <c r="K705" s="3"/>
    </row>
    <row r="706">
      <c r="B706" s="396"/>
      <c r="C706" s="396"/>
      <c r="D706" s="396"/>
      <c r="E706" s="397"/>
      <c r="F706" s="3"/>
      <c r="G706" s="3"/>
      <c r="H706" s="3"/>
      <c r="K706" s="3"/>
    </row>
    <row r="707">
      <c r="B707" s="396"/>
      <c r="C707" s="396"/>
      <c r="D707" s="396"/>
      <c r="E707" s="397"/>
      <c r="F707" s="3"/>
      <c r="G707" s="3"/>
      <c r="H707" s="3"/>
      <c r="K707" s="3"/>
    </row>
    <row r="708">
      <c r="B708" s="396"/>
      <c r="C708" s="396"/>
      <c r="D708" s="396"/>
      <c r="E708" s="397"/>
      <c r="F708" s="3"/>
      <c r="G708" s="3"/>
      <c r="H708" s="3"/>
      <c r="K708" s="3"/>
    </row>
    <row r="709">
      <c r="B709" s="396"/>
      <c r="C709" s="396"/>
      <c r="D709" s="396"/>
      <c r="E709" s="397"/>
      <c r="F709" s="3"/>
      <c r="G709" s="3"/>
      <c r="H709" s="3"/>
      <c r="K709" s="3"/>
    </row>
    <row r="710">
      <c r="B710" s="396"/>
      <c r="C710" s="396"/>
      <c r="D710" s="396"/>
      <c r="E710" s="397"/>
      <c r="F710" s="3"/>
      <c r="G710" s="3"/>
      <c r="H710" s="3"/>
      <c r="K710" s="3"/>
    </row>
    <row r="711">
      <c r="B711" s="396"/>
      <c r="C711" s="396"/>
      <c r="D711" s="396"/>
      <c r="E711" s="397"/>
      <c r="F711" s="3"/>
      <c r="G711" s="3"/>
      <c r="H711" s="3"/>
      <c r="K711" s="3"/>
    </row>
    <row r="712">
      <c r="B712" s="396"/>
      <c r="C712" s="396"/>
      <c r="D712" s="396"/>
      <c r="E712" s="397"/>
      <c r="F712" s="3"/>
      <c r="G712" s="3"/>
      <c r="H712" s="3"/>
      <c r="K712" s="3"/>
    </row>
    <row r="713">
      <c r="B713" s="396"/>
      <c r="C713" s="396"/>
      <c r="D713" s="396"/>
      <c r="E713" s="397"/>
      <c r="F713" s="3"/>
      <c r="G713" s="3"/>
      <c r="H713" s="3"/>
      <c r="K713" s="3"/>
    </row>
    <row r="714">
      <c r="B714" s="396"/>
      <c r="C714" s="396"/>
      <c r="D714" s="396"/>
      <c r="E714" s="397"/>
      <c r="F714" s="3"/>
      <c r="G714" s="3"/>
      <c r="H714" s="3"/>
      <c r="K714" s="3"/>
    </row>
    <row r="715">
      <c r="B715" s="396"/>
      <c r="C715" s="396"/>
      <c r="D715" s="396"/>
      <c r="E715" s="397"/>
      <c r="F715" s="3"/>
      <c r="G715" s="3"/>
      <c r="H715" s="3"/>
      <c r="K715" s="3"/>
    </row>
    <row r="716">
      <c r="B716" s="396"/>
      <c r="C716" s="396"/>
      <c r="D716" s="396"/>
      <c r="E716" s="397"/>
      <c r="F716" s="3"/>
      <c r="G716" s="3"/>
      <c r="H716" s="3"/>
      <c r="K716" s="3"/>
    </row>
    <row r="717">
      <c r="B717" s="396"/>
      <c r="C717" s="396"/>
      <c r="D717" s="396"/>
      <c r="E717" s="397"/>
      <c r="F717" s="3"/>
      <c r="G717" s="3"/>
      <c r="H717" s="3"/>
      <c r="K717" s="3"/>
    </row>
    <row r="718">
      <c r="B718" s="396"/>
      <c r="C718" s="396"/>
      <c r="D718" s="396"/>
      <c r="E718" s="397"/>
      <c r="F718" s="3"/>
      <c r="G718" s="3"/>
      <c r="H718" s="3"/>
      <c r="K718" s="3"/>
    </row>
    <row r="719">
      <c r="B719" s="396"/>
      <c r="C719" s="396"/>
      <c r="D719" s="396"/>
      <c r="E719" s="397"/>
      <c r="F719" s="3"/>
      <c r="G719" s="3"/>
      <c r="H719" s="3"/>
      <c r="K719" s="3"/>
    </row>
    <row r="720">
      <c r="B720" s="396"/>
      <c r="C720" s="396"/>
      <c r="D720" s="396"/>
      <c r="E720" s="397"/>
      <c r="F720" s="3"/>
      <c r="G720" s="3"/>
      <c r="H720" s="3"/>
      <c r="K720" s="3"/>
    </row>
    <row r="721">
      <c r="B721" s="396"/>
      <c r="C721" s="396"/>
      <c r="D721" s="396"/>
      <c r="E721" s="397"/>
      <c r="F721" s="3"/>
      <c r="G721" s="3"/>
      <c r="H721" s="3"/>
      <c r="K721" s="3"/>
    </row>
    <row r="722">
      <c r="B722" s="396"/>
      <c r="C722" s="396"/>
      <c r="D722" s="396"/>
      <c r="E722" s="397"/>
      <c r="F722" s="3"/>
      <c r="G722" s="3"/>
      <c r="H722" s="3"/>
      <c r="K722" s="3"/>
    </row>
    <row r="723">
      <c r="B723" s="396"/>
      <c r="C723" s="396"/>
      <c r="D723" s="396"/>
      <c r="E723" s="397"/>
      <c r="F723" s="3"/>
      <c r="G723" s="3"/>
      <c r="H723" s="3"/>
      <c r="K723" s="3"/>
    </row>
    <row r="724">
      <c r="B724" s="396"/>
      <c r="C724" s="396"/>
      <c r="D724" s="396"/>
      <c r="E724" s="397"/>
      <c r="F724" s="3"/>
      <c r="G724" s="3"/>
      <c r="H724" s="3"/>
      <c r="K724" s="3"/>
    </row>
    <row r="725">
      <c r="B725" s="396"/>
      <c r="C725" s="396"/>
      <c r="D725" s="396"/>
      <c r="E725" s="397"/>
      <c r="F725" s="3"/>
      <c r="G725" s="3"/>
      <c r="H725" s="3"/>
      <c r="K725" s="3"/>
    </row>
    <row r="726">
      <c r="B726" s="396"/>
      <c r="C726" s="396"/>
      <c r="D726" s="396"/>
      <c r="E726" s="397"/>
      <c r="F726" s="3"/>
      <c r="G726" s="3"/>
      <c r="H726" s="3"/>
      <c r="K726" s="3"/>
    </row>
    <row r="727">
      <c r="B727" s="396"/>
      <c r="C727" s="396"/>
      <c r="D727" s="396"/>
      <c r="E727" s="397"/>
      <c r="F727" s="3"/>
      <c r="G727" s="3"/>
      <c r="H727" s="3"/>
      <c r="K727" s="3"/>
    </row>
    <row r="728">
      <c r="B728" s="396"/>
      <c r="C728" s="396"/>
      <c r="D728" s="396"/>
      <c r="E728" s="397"/>
      <c r="F728" s="3"/>
      <c r="G728" s="3"/>
      <c r="H728" s="3"/>
      <c r="K728" s="3"/>
    </row>
    <row r="729">
      <c r="B729" s="396"/>
      <c r="C729" s="396"/>
      <c r="D729" s="396"/>
      <c r="E729" s="397"/>
      <c r="F729" s="3"/>
      <c r="G729" s="3"/>
      <c r="H729" s="3"/>
      <c r="K729" s="3"/>
    </row>
    <row r="730">
      <c r="B730" s="396"/>
      <c r="C730" s="396"/>
      <c r="D730" s="396"/>
      <c r="E730" s="397"/>
      <c r="F730" s="3"/>
      <c r="G730" s="3"/>
      <c r="H730" s="3"/>
      <c r="K730" s="3"/>
    </row>
    <row r="731">
      <c r="B731" s="396"/>
      <c r="C731" s="396"/>
      <c r="D731" s="396"/>
      <c r="E731" s="397"/>
      <c r="F731" s="3"/>
      <c r="G731" s="3"/>
      <c r="H731" s="3"/>
      <c r="K731" s="3"/>
    </row>
    <row r="732">
      <c r="B732" s="396"/>
      <c r="C732" s="396"/>
      <c r="D732" s="396"/>
      <c r="E732" s="397"/>
      <c r="F732" s="3"/>
      <c r="G732" s="3"/>
      <c r="H732" s="3"/>
      <c r="K732" s="3"/>
    </row>
    <row r="733">
      <c r="B733" s="396"/>
      <c r="C733" s="396"/>
      <c r="D733" s="396"/>
      <c r="E733" s="397"/>
      <c r="F733" s="3"/>
      <c r="G733" s="3"/>
      <c r="H733" s="3"/>
      <c r="K733" s="3"/>
    </row>
    <row r="734">
      <c r="B734" s="396"/>
      <c r="C734" s="396"/>
      <c r="D734" s="396"/>
      <c r="E734" s="397"/>
      <c r="F734" s="3"/>
      <c r="G734" s="3"/>
      <c r="H734" s="3"/>
      <c r="K734" s="3"/>
    </row>
    <row r="735">
      <c r="B735" s="396"/>
      <c r="C735" s="396"/>
      <c r="D735" s="396"/>
      <c r="E735" s="397"/>
      <c r="F735" s="3"/>
      <c r="G735" s="3"/>
      <c r="H735" s="3"/>
      <c r="K735" s="3"/>
    </row>
    <row r="736">
      <c r="B736" s="396"/>
      <c r="C736" s="396"/>
      <c r="D736" s="396"/>
      <c r="E736" s="397"/>
      <c r="F736" s="3"/>
      <c r="G736" s="3"/>
      <c r="H736" s="3"/>
      <c r="K736" s="3"/>
    </row>
    <row r="737">
      <c r="B737" s="396"/>
      <c r="C737" s="396"/>
      <c r="D737" s="396"/>
      <c r="E737" s="397"/>
      <c r="F737" s="3"/>
      <c r="G737" s="3"/>
      <c r="H737" s="3"/>
      <c r="K737" s="3"/>
    </row>
    <row r="738">
      <c r="B738" s="396"/>
      <c r="C738" s="396"/>
      <c r="D738" s="396"/>
      <c r="E738" s="397"/>
      <c r="F738" s="3"/>
      <c r="G738" s="3"/>
      <c r="H738" s="3"/>
      <c r="K738" s="3"/>
    </row>
    <row r="739">
      <c r="B739" s="396"/>
      <c r="C739" s="396"/>
      <c r="D739" s="396"/>
      <c r="E739" s="397"/>
      <c r="F739" s="3"/>
      <c r="G739" s="3"/>
      <c r="H739" s="3"/>
      <c r="K739" s="3"/>
    </row>
    <row r="740">
      <c r="B740" s="396"/>
      <c r="C740" s="396"/>
      <c r="D740" s="396"/>
      <c r="E740" s="397"/>
      <c r="F740" s="3"/>
      <c r="G740" s="3"/>
      <c r="H740" s="3"/>
      <c r="K740" s="3"/>
    </row>
    <row r="741">
      <c r="B741" s="396"/>
      <c r="C741" s="396"/>
      <c r="D741" s="396"/>
      <c r="E741" s="397"/>
      <c r="F741" s="3"/>
      <c r="G741" s="3"/>
      <c r="H741" s="3"/>
      <c r="K741" s="3"/>
    </row>
    <row r="742">
      <c r="B742" s="396"/>
      <c r="C742" s="396"/>
      <c r="D742" s="396"/>
      <c r="E742" s="397"/>
      <c r="F742" s="3"/>
      <c r="G742" s="3"/>
      <c r="H742" s="3"/>
      <c r="K742" s="3"/>
    </row>
    <row r="743">
      <c r="B743" s="396"/>
      <c r="C743" s="396"/>
      <c r="D743" s="396"/>
      <c r="E743" s="397"/>
      <c r="F743" s="3"/>
      <c r="G743" s="3"/>
      <c r="H743" s="3"/>
      <c r="K743" s="3"/>
    </row>
    <row r="744">
      <c r="B744" s="396"/>
      <c r="C744" s="396"/>
      <c r="D744" s="396"/>
      <c r="E744" s="397"/>
      <c r="F744" s="3"/>
      <c r="G744" s="3"/>
      <c r="H744" s="3"/>
      <c r="K744" s="3"/>
    </row>
    <row r="745">
      <c r="B745" s="396"/>
      <c r="C745" s="396"/>
      <c r="D745" s="396"/>
      <c r="E745" s="397"/>
      <c r="F745" s="3"/>
      <c r="G745" s="3"/>
      <c r="H745" s="3"/>
      <c r="K745" s="3"/>
    </row>
    <row r="746">
      <c r="B746" s="396"/>
      <c r="C746" s="396"/>
      <c r="D746" s="396"/>
      <c r="E746" s="397"/>
      <c r="F746" s="3"/>
      <c r="G746" s="3"/>
      <c r="H746" s="3"/>
      <c r="K746" s="3"/>
    </row>
    <row r="747">
      <c r="B747" s="396"/>
      <c r="C747" s="396"/>
      <c r="D747" s="396"/>
      <c r="E747" s="397"/>
      <c r="F747" s="3"/>
      <c r="G747" s="3"/>
      <c r="H747" s="3"/>
      <c r="K747" s="3"/>
    </row>
    <row r="748">
      <c r="B748" s="396"/>
      <c r="C748" s="396"/>
      <c r="D748" s="396"/>
      <c r="E748" s="397"/>
      <c r="F748" s="3"/>
      <c r="G748" s="3"/>
      <c r="H748" s="3"/>
      <c r="K748" s="3"/>
    </row>
    <row r="749">
      <c r="B749" s="396"/>
      <c r="C749" s="396"/>
      <c r="D749" s="396"/>
      <c r="E749" s="397"/>
      <c r="F749" s="3"/>
      <c r="G749" s="3"/>
      <c r="H749" s="3"/>
      <c r="K749" s="3"/>
    </row>
    <row r="750">
      <c r="B750" s="396"/>
      <c r="C750" s="396"/>
      <c r="D750" s="396"/>
      <c r="E750" s="397"/>
      <c r="F750" s="3"/>
      <c r="G750" s="3"/>
      <c r="H750" s="3"/>
      <c r="K750" s="3"/>
    </row>
    <row r="751">
      <c r="B751" s="396"/>
      <c r="C751" s="396"/>
      <c r="D751" s="396"/>
      <c r="E751" s="397"/>
      <c r="F751" s="3"/>
      <c r="G751" s="3"/>
      <c r="H751" s="3"/>
      <c r="K751" s="3"/>
    </row>
    <row r="752">
      <c r="B752" s="396"/>
      <c r="C752" s="396"/>
      <c r="D752" s="396"/>
      <c r="E752" s="397"/>
      <c r="F752" s="3"/>
      <c r="G752" s="3"/>
      <c r="H752" s="3"/>
      <c r="K752" s="3"/>
    </row>
    <row r="753">
      <c r="B753" s="396"/>
      <c r="C753" s="396"/>
      <c r="D753" s="396"/>
      <c r="E753" s="397"/>
      <c r="F753" s="3"/>
      <c r="G753" s="3"/>
      <c r="H753" s="3"/>
      <c r="K753" s="3"/>
    </row>
    <row r="754">
      <c r="B754" s="396"/>
      <c r="C754" s="396"/>
      <c r="D754" s="396"/>
      <c r="E754" s="397"/>
      <c r="F754" s="3"/>
      <c r="G754" s="3"/>
      <c r="H754" s="3"/>
      <c r="K754" s="3"/>
    </row>
    <row r="755">
      <c r="B755" s="396"/>
      <c r="C755" s="396"/>
      <c r="D755" s="396"/>
      <c r="E755" s="397"/>
      <c r="F755" s="3"/>
      <c r="G755" s="3"/>
      <c r="H755" s="3"/>
      <c r="K755" s="3"/>
    </row>
    <row r="756">
      <c r="B756" s="396"/>
      <c r="C756" s="396"/>
      <c r="D756" s="396"/>
      <c r="E756" s="397"/>
      <c r="F756" s="3"/>
      <c r="G756" s="3"/>
      <c r="H756" s="3"/>
      <c r="K756" s="3"/>
    </row>
    <row r="757">
      <c r="B757" s="396"/>
      <c r="C757" s="396"/>
      <c r="D757" s="396"/>
      <c r="E757" s="397"/>
      <c r="F757" s="3"/>
      <c r="G757" s="3"/>
      <c r="H757" s="3"/>
      <c r="K757" s="3"/>
    </row>
    <row r="758">
      <c r="B758" s="396"/>
      <c r="C758" s="396"/>
      <c r="D758" s="396"/>
      <c r="E758" s="397"/>
      <c r="F758" s="3"/>
      <c r="G758" s="3"/>
      <c r="H758" s="3"/>
      <c r="K758" s="3"/>
    </row>
    <row r="759">
      <c r="B759" s="396"/>
      <c r="C759" s="396"/>
      <c r="D759" s="396"/>
      <c r="E759" s="397"/>
      <c r="F759" s="3"/>
      <c r="G759" s="3"/>
      <c r="H759" s="3"/>
      <c r="K759" s="3"/>
    </row>
    <row r="760">
      <c r="B760" s="396"/>
      <c r="C760" s="396"/>
      <c r="D760" s="396"/>
      <c r="E760" s="397"/>
      <c r="F760" s="3"/>
      <c r="G760" s="3"/>
      <c r="H760" s="3"/>
      <c r="K760" s="3"/>
    </row>
    <row r="761">
      <c r="B761" s="396"/>
      <c r="C761" s="396"/>
      <c r="D761" s="396"/>
      <c r="E761" s="397"/>
      <c r="F761" s="3"/>
      <c r="G761" s="3"/>
      <c r="H761" s="3"/>
      <c r="K761" s="3"/>
    </row>
    <row r="762">
      <c r="B762" s="396"/>
      <c r="C762" s="396"/>
      <c r="D762" s="396"/>
      <c r="E762" s="397"/>
      <c r="F762" s="3"/>
      <c r="G762" s="3"/>
      <c r="H762" s="3"/>
      <c r="K762" s="3"/>
    </row>
    <row r="763">
      <c r="B763" s="396"/>
      <c r="C763" s="396"/>
      <c r="D763" s="396"/>
      <c r="E763" s="397"/>
      <c r="F763" s="3"/>
      <c r="G763" s="3"/>
      <c r="H763" s="3"/>
      <c r="K763" s="3"/>
    </row>
    <row r="764">
      <c r="B764" s="396"/>
      <c r="C764" s="396"/>
      <c r="D764" s="396"/>
      <c r="E764" s="397"/>
      <c r="F764" s="3"/>
      <c r="G764" s="3"/>
      <c r="H764" s="3"/>
      <c r="K764" s="3"/>
    </row>
    <row r="765">
      <c r="B765" s="396"/>
      <c r="C765" s="396"/>
      <c r="D765" s="396"/>
      <c r="E765" s="397"/>
      <c r="F765" s="3"/>
      <c r="G765" s="3"/>
      <c r="H765" s="3"/>
      <c r="K765" s="3"/>
    </row>
    <row r="766">
      <c r="B766" s="396"/>
      <c r="C766" s="396"/>
      <c r="D766" s="396"/>
      <c r="E766" s="397"/>
      <c r="F766" s="3"/>
      <c r="G766" s="3"/>
      <c r="H766" s="3"/>
      <c r="K766" s="3"/>
    </row>
    <row r="767">
      <c r="B767" s="396"/>
      <c r="C767" s="396"/>
      <c r="D767" s="396"/>
      <c r="E767" s="397"/>
      <c r="F767" s="3"/>
      <c r="G767" s="3"/>
      <c r="H767" s="3"/>
      <c r="K767" s="3"/>
    </row>
    <row r="768">
      <c r="B768" s="396"/>
      <c r="C768" s="396"/>
      <c r="D768" s="396"/>
      <c r="E768" s="397"/>
      <c r="F768" s="3"/>
      <c r="G768" s="3"/>
      <c r="H768" s="3"/>
      <c r="K768" s="3"/>
    </row>
    <row r="769">
      <c r="B769" s="396"/>
      <c r="C769" s="396"/>
      <c r="D769" s="396"/>
      <c r="E769" s="397"/>
      <c r="F769" s="3"/>
      <c r="G769" s="3"/>
      <c r="H769" s="3"/>
      <c r="K769" s="3"/>
    </row>
    <row r="770">
      <c r="B770" s="396"/>
      <c r="C770" s="396"/>
      <c r="D770" s="396"/>
      <c r="E770" s="397"/>
      <c r="F770" s="3"/>
      <c r="G770" s="3"/>
      <c r="H770" s="3"/>
      <c r="K770" s="3"/>
    </row>
    <row r="771">
      <c r="B771" s="396"/>
      <c r="C771" s="396"/>
      <c r="D771" s="396"/>
      <c r="E771" s="397"/>
      <c r="F771" s="3"/>
      <c r="G771" s="3"/>
      <c r="H771" s="3"/>
      <c r="K771" s="3"/>
    </row>
    <row r="772">
      <c r="B772" s="396"/>
      <c r="C772" s="396"/>
      <c r="D772" s="396"/>
      <c r="E772" s="397"/>
      <c r="F772" s="3"/>
      <c r="G772" s="3"/>
      <c r="H772" s="3"/>
      <c r="K772" s="3"/>
    </row>
    <row r="773">
      <c r="B773" s="396"/>
      <c r="C773" s="396"/>
      <c r="D773" s="396"/>
      <c r="E773" s="397"/>
      <c r="F773" s="3"/>
      <c r="G773" s="3"/>
      <c r="H773" s="3"/>
      <c r="K773" s="3"/>
    </row>
    <row r="774">
      <c r="B774" s="396"/>
      <c r="C774" s="396"/>
      <c r="D774" s="396"/>
      <c r="E774" s="397"/>
      <c r="F774" s="3"/>
      <c r="G774" s="3"/>
      <c r="H774" s="3"/>
      <c r="K774" s="3"/>
    </row>
    <row r="775">
      <c r="B775" s="396"/>
      <c r="C775" s="396"/>
      <c r="D775" s="396"/>
      <c r="E775" s="397"/>
      <c r="F775" s="3"/>
      <c r="G775" s="3"/>
      <c r="H775" s="3"/>
      <c r="K775" s="3"/>
    </row>
    <row r="776">
      <c r="B776" s="396"/>
      <c r="C776" s="396"/>
      <c r="D776" s="396"/>
      <c r="E776" s="397"/>
      <c r="F776" s="3"/>
      <c r="G776" s="3"/>
      <c r="H776" s="3"/>
      <c r="K776" s="3"/>
    </row>
    <row r="777">
      <c r="B777" s="396"/>
      <c r="C777" s="396"/>
      <c r="D777" s="396"/>
      <c r="E777" s="397"/>
      <c r="F777" s="3"/>
      <c r="G777" s="3"/>
      <c r="H777" s="3"/>
      <c r="K777" s="3"/>
    </row>
    <row r="778">
      <c r="B778" s="396"/>
      <c r="C778" s="396"/>
      <c r="D778" s="396"/>
      <c r="E778" s="397"/>
      <c r="F778" s="3"/>
      <c r="G778" s="3"/>
      <c r="H778" s="3"/>
      <c r="K778" s="3"/>
    </row>
    <row r="779">
      <c r="B779" s="396"/>
      <c r="C779" s="396"/>
      <c r="D779" s="396"/>
      <c r="E779" s="397"/>
      <c r="F779" s="3"/>
      <c r="G779" s="3"/>
      <c r="H779" s="3"/>
      <c r="K779" s="3"/>
    </row>
    <row r="780">
      <c r="B780" s="396"/>
      <c r="C780" s="396"/>
      <c r="D780" s="396"/>
      <c r="E780" s="397"/>
      <c r="F780" s="3"/>
      <c r="G780" s="3"/>
      <c r="H780" s="3"/>
      <c r="K780" s="3"/>
    </row>
    <row r="781">
      <c r="B781" s="396"/>
      <c r="C781" s="396"/>
      <c r="D781" s="396"/>
      <c r="E781" s="397"/>
      <c r="F781" s="3"/>
      <c r="G781" s="3"/>
      <c r="H781" s="3"/>
      <c r="K781" s="3"/>
    </row>
    <row r="782">
      <c r="B782" s="396"/>
      <c r="C782" s="396"/>
      <c r="D782" s="396"/>
      <c r="E782" s="397"/>
      <c r="F782" s="3"/>
      <c r="G782" s="3"/>
      <c r="H782" s="3"/>
      <c r="K782" s="3"/>
    </row>
    <row r="783">
      <c r="B783" s="396"/>
      <c r="C783" s="396"/>
      <c r="D783" s="396"/>
      <c r="E783" s="397"/>
      <c r="F783" s="3"/>
      <c r="G783" s="3"/>
      <c r="H783" s="3"/>
      <c r="K783" s="3"/>
    </row>
    <row r="784">
      <c r="B784" s="396"/>
      <c r="C784" s="396"/>
      <c r="D784" s="396"/>
      <c r="E784" s="397"/>
      <c r="F784" s="3"/>
      <c r="G784" s="3"/>
      <c r="H784" s="3"/>
      <c r="K784" s="3"/>
    </row>
    <row r="785">
      <c r="B785" s="396"/>
      <c r="C785" s="396"/>
      <c r="D785" s="396"/>
      <c r="E785" s="397"/>
      <c r="F785" s="3"/>
      <c r="G785" s="3"/>
      <c r="H785" s="3"/>
      <c r="K785" s="3"/>
    </row>
    <row r="786">
      <c r="B786" s="396"/>
      <c r="C786" s="396"/>
      <c r="D786" s="396"/>
      <c r="E786" s="397"/>
      <c r="F786" s="3"/>
      <c r="G786" s="3"/>
      <c r="H786" s="3"/>
      <c r="K786" s="3"/>
    </row>
    <row r="787">
      <c r="B787" s="396"/>
      <c r="C787" s="396"/>
      <c r="D787" s="396"/>
      <c r="E787" s="397"/>
      <c r="F787" s="3"/>
      <c r="G787" s="3"/>
      <c r="H787" s="3"/>
      <c r="K787" s="3"/>
    </row>
    <row r="788">
      <c r="B788" s="396"/>
      <c r="C788" s="396"/>
      <c r="D788" s="396"/>
      <c r="E788" s="397"/>
      <c r="F788" s="3"/>
      <c r="G788" s="3"/>
      <c r="H788" s="3"/>
      <c r="K788" s="3"/>
    </row>
    <row r="789">
      <c r="B789" s="396"/>
      <c r="C789" s="396"/>
      <c r="D789" s="396"/>
      <c r="E789" s="397"/>
      <c r="F789" s="3"/>
      <c r="G789" s="3"/>
      <c r="H789" s="3"/>
      <c r="K789" s="3"/>
    </row>
    <row r="790">
      <c r="B790" s="396"/>
      <c r="C790" s="396"/>
      <c r="D790" s="396"/>
      <c r="E790" s="397"/>
      <c r="F790" s="3"/>
      <c r="G790" s="3"/>
      <c r="H790" s="3"/>
      <c r="K790" s="3"/>
    </row>
    <row r="791">
      <c r="B791" s="396"/>
      <c r="C791" s="396"/>
      <c r="D791" s="396"/>
      <c r="E791" s="397"/>
      <c r="F791" s="3"/>
      <c r="G791" s="3"/>
      <c r="H791" s="3"/>
      <c r="K791" s="3"/>
    </row>
    <row r="792">
      <c r="B792" s="396"/>
      <c r="C792" s="396"/>
      <c r="D792" s="396"/>
      <c r="E792" s="397"/>
      <c r="F792" s="3"/>
      <c r="G792" s="3"/>
      <c r="H792" s="3"/>
      <c r="K792" s="3"/>
    </row>
    <row r="793">
      <c r="B793" s="396"/>
      <c r="C793" s="396"/>
      <c r="D793" s="396"/>
      <c r="E793" s="397"/>
      <c r="F793" s="3"/>
      <c r="G793" s="3"/>
      <c r="H793" s="3"/>
      <c r="K793" s="3"/>
    </row>
    <row r="794">
      <c r="B794" s="396"/>
      <c r="C794" s="396"/>
      <c r="D794" s="396"/>
      <c r="E794" s="397"/>
      <c r="F794" s="3"/>
      <c r="G794" s="3"/>
      <c r="H794" s="3"/>
      <c r="K794" s="3"/>
    </row>
    <row r="795">
      <c r="B795" s="396"/>
      <c r="C795" s="396"/>
      <c r="D795" s="396"/>
      <c r="E795" s="397"/>
      <c r="F795" s="3"/>
      <c r="G795" s="3"/>
      <c r="H795" s="3"/>
      <c r="K795" s="3"/>
    </row>
    <row r="796">
      <c r="B796" s="396"/>
      <c r="C796" s="396"/>
      <c r="D796" s="396"/>
      <c r="E796" s="397"/>
      <c r="F796" s="3"/>
      <c r="G796" s="3"/>
      <c r="H796" s="3"/>
      <c r="K796" s="3"/>
    </row>
    <row r="797">
      <c r="B797" s="396"/>
      <c r="C797" s="396"/>
      <c r="D797" s="396"/>
      <c r="E797" s="397"/>
      <c r="F797" s="3"/>
      <c r="G797" s="3"/>
      <c r="H797" s="3"/>
      <c r="K797" s="3"/>
    </row>
    <row r="798">
      <c r="B798" s="396"/>
      <c r="C798" s="396"/>
      <c r="D798" s="396"/>
      <c r="E798" s="397"/>
      <c r="F798" s="3"/>
      <c r="G798" s="3"/>
      <c r="H798" s="3"/>
      <c r="K798" s="3"/>
    </row>
    <row r="799">
      <c r="B799" s="396"/>
      <c r="C799" s="396"/>
      <c r="D799" s="396"/>
      <c r="E799" s="397"/>
      <c r="F799" s="3"/>
      <c r="G799" s="3"/>
      <c r="H799" s="3"/>
      <c r="K799" s="3"/>
    </row>
    <row r="800">
      <c r="B800" s="396"/>
      <c r="C800" s="396"/>
      <c r="D800" s="396"/>
      <c r="E800" s="397"/>
      <c r="F800" s="3"/>
      <c r="G800" s="3"/>
      <c r="H800" s="3"/>
      <c r="K800" s="3"/>
    </row>
    <row r="801">
      <c r="B801" s="396"/>
      <c r="C801" s="396"/>
      <c r="D801" s="396"/>
      <c r="E801" s="397"/>
      <c r="F801" s="3"/>
      <c r="G801" s="3"/>
      <c r="H801" s="3"/>
      <c r="K801" s="3"/>
    </row>
    <row r="802">
      <c r="B802" s="396"/>
      <c r="C802" s="396"/>
      <c r="D802" s="396"/>
      <c r="E802" s="397"/>
      <c r="F802" s="3"/>
      <c r="G802" s="3"/>
      <c r="H802" s="3"/>
      <c r="K802" s="3"/>
    </row>
    <row r="803">
      <c r="B803" s="396"/>
      <c r="C803" s="396"/>
      <c r="D803" s="396"/>
      <c r="E803" s="397"/>
      <c r="F803" s="3"/>
      <c r="G803" s="3"/>
      <c r="H803" s="3"/>
      <c r="K803" s="3"/>
    </row>
    <row r="804">
      <c r="B804" s="396"/>
      <c r="C804" s="396"/>
      <c r="D804" s="396"/>
      <c r="E804" s="397"/>
      <c r="F804" s="3"/>
      <c r="G804" s="3"/>
      <c r="H804" s="3"/>
      <c r="K804" s="3"/>
    </row>
    <row r="805">
      <c r="B805" s="396"/>
      <c r="C805" s="396"/>
      <c r="D805" s="396"/>
      <c r="E805" s="397"/>
      <c r="F805" s="3"/>
      <c r="G805" s="3"/>
      <c r="H805" s="3"/>
      <c r="K805" s="3"/>
    </row>
    <row r="806">
      <c r="B806" s="396"/>
      <c r="C806" s="396"/>
      <c r="D806" s="396"/>
      <c r="E806" s="397"/>
      <c r="F806" s="3"/>
      <c r="G806" s="3"/>
      <c r="H806" s="3"/>
      <c r="K806" s="3"/>
    </row>
    <row r="807">
      <c r="B807" s="396"/>
      <c r="C807" s="396"/>
      <c r="D807" s="396"/>
      <c r="E807" s="397"/>
      <c r="F807" s="3"/>
      <c r="G807" s="3"/>
      <c r="H807" s="3"/>
      <c r="K807" s="3"/>
    </row>
    <row r="808">
      <c r="B808" s="396"/>
      <c r="C808" s="396"/>
      <c r="D808" s="396"/>
      <c r="E808" s="397"/>
      <c r="F808" s="3"/>
      <c r="G808" s="3"/>
      <c r="H808" s="3"/>
      <c r="K808" s="3"/>
    </row>
    <row r="809">
      <c r="B809" s="396"/>
      <c r="C809" s="396"/>
      <c r="D809" s="396"/>
      <c r="E809" s="397"/>
      <c r="F809" s="3"/>
      <c r="G809" s="3"/>
      <c r="H809" s="3"/>
      <c r="K809" s="3"/>
    </row>
    <row r="810">
      <c r="B810" s="396"/>
      <c r="C810" s="396"/>
      <c r="D810" s="396"/>
      <c r="E810" s="397"/>
      <c r="F810" s="3"/>
      <c r="G810" s="3"/>
      <c r="H810" s="3"/>
      <c r="K810" s="3"/>
    </row>
    <row r="811">
      <c r="B811" s="396"/>
      <c r="C811" s="396"/>
      <c r="D811" s="396"/>
      <c r="E811" s="397"/>
      <c r="F811" s="3"/>
      <c r="G811" s="3"/>
      <c r="H811" s="3"/>
      <c r="K811" s="3"/>
    </row>
    <row r="812">
      <c r="B812" s="396"/>
      <c r="C812" s="396"/>
      <c r="D812" s="396"/>
      <c r="E812" s="397"/>
      <c r="F812" s="3"/>
      <c r="G812" s="3"/>
      <c r="H812" s="3"/>
      <c r="K812" s="3"/>
    </row>
    <row r="813">
      <c r="B813" s="396"/>
      <c r="C813" s="396"/>
      <c r="D813" s="396"/>
      <c r="E813" s="397"/>
      <c r="F813" s="3"/>
      <c r="G813" s="3"/>
      <c r="H813" s="3"/>
      <c r="K813" s="3"/>
    </row>
    <row r="814">
      <c r="B814" s="396"/>
      <c r="C814" s="396"/>
      <c r="D814" s="396"/>
      <c r="E814" s="397"/>
      <c r="F814" s="3"/>
      <c r="G814" s="3"/>
      <c r="H814" s="3"/>
      <c r="K814" s="3"/>
    </row>
    <row r="815">
      <c r="B815" s="396"/>
      <c r="C815" s="396"/>
      <c r="D815" s="396"/>
      <c r="E815" s="397"/>
      <c r="F815" s="3"/>
      <c r="G815" s="3"/>
      <c r="H815" s="3"/>
      <c r="K815" s="3"/>
    </row>
    <row r="816">
      <c r="B816" s="396"/>
      <c r="C816" s="396"/>
      <c r="D816" s="396"/>
      <c r="E816" s="397"/>
      <c r="F816" s="3"/>
      <c r="G816" s="3"/>
      <c r="H816" s="3"/>
      <c r="K816" s="3"/>
    </row>
    <row r="817">
      <c r="B817" s="396"/>
      <c r="C817" s="396"/>
      <c r="D817" s="396"/>
      <c r="E817" s="397"/>
      <c r="F817" s="3"/>
      <c r="G817" s="3"/>
      <c r="H817" s="3"/>
      <c r="K817" s="3"/>
    </row>
    <row r="818">
      <c r="B818" s="396"/>
      <c r="C818" s="396"/>
      <c r="D818" s="396"/>
      <c r="E818" s="397"/>
      <c r="F818" s="3"/>
      <c r="G818" s="3"/>
      <c r="H818" s="3"/>
      <c r="K818" s="3"/>
    </row>
    <row r="819">
      <c r="B819" s="396"/>
      <c r="C819" s="396"/>
      <c r="D819" s="396"/>
      <c r="E819" s="397"/>
      <c r="F819" s="3"/>
      <c r="G819" s="3"/>
      <c r="H819" s="3"/>
      <c r="K819" s="3"/>
    </row>
    <row r="820">
      <c r="B820" s="396"/>
      <c r="C820" s="396"/>
      <c r="D820" s="396"/>
      <c r="E820" s="397"/>
      <c r="F820" s="3"/>
      <c r="G820" s="3"/>
      <c r="H820" s="3"/>
      <c r="K820" s="3"/>
    </row>
    <row r="821">
      <c r="B821" s="396"/>
      <c r="C821" s="396"/>
      <c r="D821" s="396"/>
      <c r="E821" s="397"/>
      <c r="F821" s="3"/>
      <c r="G821" s="3"/>
      <c r="H821" s="3"/>
      <c r="K821" s="3"/>
    </row>
    <row r="822">
      <c r="B822" s="396"/>
      <c r="C822" s="396"/>
      <c r="D822" s="396"/>
      <c r="E822" s="397"/>
      <c r="F822" s="3"/>
      <c r="G822" s="3"/>
      <c r="H822" s="3"/>
      <c r="K822" s="3"/>
    </row>
    <row r="823">
      <c r="B823" s="396"/>
      <c r="C823" s="396"/>
      <c r="D823" s="396"/>
      <c r="E823" s="397"/>
      <c r="F823" s="3"/>
      <c r="G823" s="3"/>
      <c r="H823" s="3"/>
      <c r="K823" s="3"/>
    </row>
    <row r="824">
      <c r="B824" s="396"/>
      <c r="C824" s="396"/>
      <c r="D824" s="396"/>
      <c r="E824" s="397"/>
      <c r="F824" s="3"/>
      <c r="G824" s="3"/>
      <c r="H824" s="3"/>
      <c r="K824" s="3"/>
    </row>
    <row r="825">
      <c r="B825" s="396"/>
      <c r="C825" s="396"/>
      <c r="D825" s="396"/>
      <c r="E825" s="397"/>
      <c r="F825" s="3"/>
      <c r="G825" s="3"/>
      <c r="H825" s="3"/>
      <c r="K825" s="3"/>
    </row>
    <row r="826">
      <c r="B826" s="396"/>
      <c r="C826" s="396"/>
      <c r="D826" s="396"/>
      <c r="E826" s="397"/>
      <c r="F826" s="3"/>
      <c r="G826" s="3"/>
      <c r="H826" s="3"/>
      <c r="K826" s="3"/>
    </row>
    <row r="827">
      <c r="B827" s="396"/>
      <c r="C827" s="396"/>
      <c r="D827" s="396"/>
      <c r="E827" s="397"/>
      <c r="F827" s="3"/>
      <c r="G827" s="3"/>
      <c r="H827" s="3"/>
      <c r="K827" s="3"/>
    </row>
    <row r="828">
      <c r="B828" s="396"/>
      <c r="C828" s="396"/>
      <c r="D828" s="396"/>
      <c r="E828" s="397"/>
      <c r="F828" s="3"/>
      <c r="G828" s="3"/>
      <c r="H828" s="3"/>
      <c r="K828" s="3"/>
    </row>
    <row r="829">
      <c r="B829" s="396"/>
      <c r="C829" s="396"/>
      <c r="D829" s="396"/>
      <c r="E829" s="397"/>
      <c r="F829" s="3"/>
      <c r="G829" s="3"/>
      <c r="H829" s="3"/>
      <c r="K829" s="3"/>
    </row>
    <row r="830">
      <c r="B830" s="396"/>
      <c r="C830" s="396"/>
      <c r="D830" s="396"/>
      <c r="E830" s="397"/>
      <c r="F830" s="3"/>
      <c r="G830" s="3"/>
      <c r="H830" s="3"/>
      <c r="K830" s="3"/>
    </row>
    <row r="831">
      <c r="B831" s="396"/>
      <c r="C831" s="396"/>
      <c r="D831" s="396"/>
      <c r="E831" s="397"/>
      <c r="F831" s="3"/>
      <c r="G831" s="3"/>
      <c r="H831" s="3"/>
      <c r="K831" s="3"/>
    </row>
    <row r="832">
      <c r="B832" s="396"/>
      <c r="C832" s="396"/>
      <c r="D832" s="396"/>
      <c r="E832" s="397"/>
      <c r="F832" s="3"/>
      <c r="G832" s="3"/>
      <c r="H832" s="3"/>
      <c r="K832" s="3"/>
    </row>
    <row r="833">
      <c r="B833" s="396"/>
      <c r="C833" s="396"/>
      <c r="D833" s="396"/>
      <c r="E833" s="397"/>
      <c r="F833" s="3"/>
      <c r="G833" s="3"/>
      <c r="H833" s="3"/>
      <c r="K833" s="3"/>
    </row>
    <row r="834">
      <c r="B834" s="396"/>
      <c r="C834" s="396"/>
      <c r="D834" s="396"/>
      <c r="E834" s="397"/>
      <c r="F834" s="3"/>
      <c r="G834" s="3"/>
      <c r="H834" s="3"/>
      <c r="K834" s="3"/>
    </row>
    <row r="835">
      <c r="B835" s="396"/>
      <c r="C835" s="396"/>
      <c r="D835" s="396"/>
      <c r="E835" s="397"/>
      <c r="F835" s="3"/>
      <c r="G835" s="3"/>
      <c r="H835" s="3"/>
      <c r="K835" s="3"/>
    </row>
    <row r="836">
      <c r="B836" s="396"/>
      <c r="C836" s="396"/>
      <c r="D836" s="396"/>
      <c r="E836" s="397"/>
      <c r="F836" s="3"/>
      <c r="G836" s="3"/>
      <c r="H836" s="3"/>
      <c r="K836" s="3"/>
    </row>
    <row r="837">
      <c r="B837" s="396"/>
      <c r="C837" s="396"/>
      <c r="D837" s="396"/>
      <c r="E837" s="397"/>
      <c r="F837" s="3"/>
      <c r="G837" s="3"/>
      <c r="H837" s="3"/>
      <c r="K837" s="3"/>
    </row>
    <row r="838">
      <c r="B838" s="396"/>
      <c r="C838" s="396"/>
      <c r="D838" s="396"/>
      <c r="E838" s="397"/>
      <c r="F838" s="3"/>
      <c r="G838" s="3"/>
      <c r="H838" s="3"/>
      <c r="K838" s="3"/>
    </row>
    <row r="839">
      <c r="B839" s="396"/>
      <c r="C839" s="396"/>
      <c r="D839" s="396"/>
      <c r="E839" s="397"/>
      <c r="F839" s="3"/>
      <c r="G839" s="3"/>
      <c r="H839" s="3"/>
      <c r="K839" s="3"/>
    </row>
    <row r="840">
      <c r="B840" s="396"/>
      <c r="C840" s="396"/>
      <c r="D840" s="396"/>
      <c r="E840" s="397"/>
      <c r="F840" s="3"/>
      <c r="G840" s="3"/>
      <c r="H840" s="3"/>
      <c r="K840" s="3"/>
    </row>
    <row r="841">
      <c r="B841" s="396"/>
      <c r="C841" s="396"/>
      <c r="D841" s="396"/>
      <c r="E841" s="397"/>
      <c r="F841" s="3"/>
      <c r="G841" s="3"/>
      <c r="H841" s="3"/>
      <c r="K841" s="3"/>
    </row>
    <row r="842">
      <c r="B842" s="396"/>
      <c r="C842" s="396"/>
      <c r="D842" s="396"/>
      <c r="E842" s="397"/>
      <c r="F842" s="3"/>
      <c r="G842" s="3"/>
      <c r="H842" s="3"/>
      <c r="K842" s="3"/>
    </row>
    <row r="843">
      <c r="B843" s="396"/>
      <c r="C843" s="396"/>
      <c r="D843" s="396"/>
      <c r="E843" s="397"/>
      <c r="F843" s="3"/>
      <c r="G843" s="3"/>
      <c r="H843" s="3"/>
      <c r="K843" s="3"/>
    </row>
    <row r="844">
      <c r="B844" s="396"/>
      <c r="C844" s="396"/>
      <c r="D844" s="396"/>
      <c r="E844" s="397"/>
      <c r="F844" s="3"/>
      <c r="G844" s="3"/>
      <c r="H844" s="3"/>
      <c r="K844" s="3"/>
    </row>
    <row r="845">
      <c r="B845" s="396"/>
      <c r="C845" s="396"/>
      <c r="D845" s="396"/>
      <c r="E845" s="397"/>
      <c r="F845" s="3"/>
      <c r="G845" s="3"/>
      <c r="H845" s="3"/>
      <c r="K845" s="3"/>
    </row>
    <row r="846">
      <c r="B846" s="396"/>
      <c r="C846" s="396"/>
      <c r="D846" s="396"/>
      <c r="E846" s="397"/>
      <c r="F846" s="3"/>
      <c r="G846" s="3"/>
      <c r="H846" s="3"/>
      <c r="K846" s="3"/>
    </row>
    <row r="847">
      <c r="B847" s="396"/>
      <c r="C847" s="396"/>
      <c r="D847" s="396"/>
      <c r="E847" s="397"/>
      <c r="F847" s="3"/>
      <c r="G847" s="3"/>
      <c r="H847" s="3"/>
      <c r="K847" s="3"/>
    </row>
    <row r="848">
      <c r="B848" s="396"/>
      <c r="C848" s="396"/>
      <c r="D848" s="396"/>
      <c r="E848" s="397"/>
      <c r="F848" s="3"/>
      <c r="G848" s="3"/>
      <c r="H848" s="3"/>
      <c r="K848" s="3"/>
    </row>
    <row r="849">
      <c r="B849" s="396"/>
      <c r="C849" s="396"/>
      <c r="D849" s="396"/>
      <c r="E849" s="397"/>
      <c r="F849" s="3"/>
      <c r="G849" s="3"/>
      <c r="H849" s="3"/>
      <c r="K849" s="3"/>
    </row>
    <row r="850">
      <c r="B850" s="396"/>
      <c r="C850" s="396"/>
      <c r="D850" s="396"/>
      <c r="E850" s="397"/>
      <c r="F850" s="3"/>
      <c r="G850" s="3"/>
      <c r="H850" s="3"/>
      <c r="K850" s="3"/>
    </row>
    <row r="851">
      <c r="B851" s="396"/>
      <c r="C851" s="396"/>
      <c r="D851" s="396"/>
      <c r="E851" s="397"/>
      <c r="F851" s="3"/>
      <c r="G851" s="3"/>
      <c r="H851" s="3"/>
      <c r="K851" s="3"/>
    </row>
    <row r="852">
      <c r="B852" s="396"/>
      <c r="C852" s="396"/>
      <c r="D852" s="396"/>
      <c r="E852" s="397"/>
      <c r="F852" s="3"/>
      <c r="G852" s="3"/>
      <c r="H852" s="3"/>
      <c r="K852" s="3"/>
    </row>
    <row r="853">
      <c r="B853" s="396"/>
      <c r="C853" s="396"/>
      <c r="D853" s="396"/>
      <c r="E853" s="397"/>
      <c r="F853" s="3"/>
      <c r="G853" s="3"/>
      <c r="H853" s="3"/>
      <c r="K853" s="3"/>
    </row>
    <row r="854">
      <c r="B854" s="396"/>
      <c r="C854" s="396"/>
      <c r="D854" s="396"/>
      <c r="E854" s="397"/>
      <c r="F854" s="3"/>
      <c r="G854" s="3"/>
      <c r="H854" s="3"/>
      <c r="K854" s="3"/>
    </row>
    <row r="855">
      <c r="B855" s="396"/>
      <c r="C855" s="396"/>
      <c r="D855" s="396"/>
      <c r="E855" s="397"/>
      <c r="F855" s="3"/>
      <c r="G855" s="3"/>
      <c r="H855" s="3"/>
      <c r="K855" s="3"/>
    </row>
    <row r="856">
      <c r="B856" s="396"/>
      <c r="C856" s="396"/>
      <c r="D856" s="396"/>
      <c r="E856" s="397"/>
      <c r="F856" s="3"/>
      <c r="G856" s="3"/>
      <c r="H856" s="3"/>
      <c r="K856" s="3"/>
    </row>
    <row r="857">
      <c r="B857" s="396"/>
      <c r="C857" s="396"/>
      <c r="D857" s="396"/>
      <c r="E857" s="397"/>
      <c r="F857" s="3"/>
      <c r="G857" s="3"/>
      <c r="H857" s="3"/>
      <c r="K857" s="3"/>
    </row>
    <row r="858">
      <c r="B858" s="396"/>
      <c r="C858" s="396"/>
      <c r="D858" s="396"/>
      <c r="E858" s="397"/>
      <c r="F858" s="3"/>
      <c r="G858" s="3"/>
      <c r="H858" s="3"/>
      <c r="K858" s="3"/>
    </row>
    <row r="859">
      <c r="B859" s="396"/>
      <c r="C859" s="396"/>
      <c r="D859" s="396"/>
      <c r="E859" s="397"/>
      <c r="F859" s="3"/>
      <c r="G859" s="3"/>
      <c r="H859" s="3"/>
      <c r="K859" s="3"/>
    </row>
    <row r="860">
      <c r="B860" s="396"/>
      <c r="C860" s="396"/>
      <c r="D860" s="396"/>
      <c r="E860" s="397"/>
      <c r="F860" s="3"/>
      <c r="G860" s="3"/>
      <c r="H860" s="3"/>
      <c r="K860" s="3"/>
    </row>
    <row r="861">
      <c r="B861" s="396"/>
      <c r="C861" s="396"/>
      <c r="D861" s="396"/>
      <c r="E861" s="397"/>
      <c r="F861" s="3"/>
      <c r="G861" s="3"/>
      <c r="H861" s="3"/>
      <c r="K861" s="3"/>
    </row>
    <row r="862">
      <c r="B862" s="396"/>
      <c r="C862" s="396"/>
      <c r="D862" s="396"/>
      <c r="E862" s="397"/>
      <c r="F862" s="3"/>
      <c r="G862" s="3"/>
      <c r="H862" s="3"/>
      <c r="K862" s="3"/>
    </row>
    <row r="863">
      <c r="B863" s="396"/>
      <c r="C863" s="396"/>
      <c r="D863" s="396"/>
      <c r="E863" s="397"/>
      <c r="F863" s="3"/>
      <c r="G863" s="3"/>
      <c r="H863" s="3"/>
      <c r="K863" s="3"/>
    </row>
    <row r="864">
      <c r="B864" s="396"/>
      <c r="C864" s="396"/>
      <c r="D864" s="396"/>
      <c r="E864" s="397"/>
      <c r="F864" s="3"/>
      <c r="G864" s="3"/>
      <c r="H864" s="3"/>
      <c r="K864" s="3"/>
    </row>
    <row r="865">
      <c r="B865" s="396"/>
      <c r="C865" s="396"/>
      <c r="D865" s="396"/>
      <c r="E865" s="397"/>
      <c r="F865" s="3"/>
      <c r="G865" s="3"/>
      <c r="H865" s="3"/>
      <c r="K865" s="3"/>
    </row>
    <row r="866">
      <c r="B866" s="396"/>
      <c r="C866" s="396"/>
      <c r="D866" s="396"/>
      <c r="E866" s="397"/>
      <c r="F866" s="3"/>
      <c r="G866" s="3"/>
      <c r="H866" s="3"/>
      <c r="K866" s="3"/>
    </row>
    <row r="867">
      <c r="B867" s="396"/>
      <c r="C867" s="396"/>
      <c r="D867" s="396"/>
      <c r="E867" s="397"/>
      <c r="F867" s="3"/>
      <c r="G867" s="3"/>
      <c r="H867" s="3"/>
      <c r="K867" s="3"/>
    </row>
    <row r="868">
      <c r="B868" s="396"/>
      <c r="C868" s="396"/>
      <c r="D868" s="396"/>
      <c r="E868" s="397"/>
      <c r="F868" s="3"/>
      <c r="G868" s="3"/>
      <c r="H868" s="3"/>
      <c r="K868" s="3"/>
    </row>
    <row r="869">
      <c r="B869" s="396"/>
      <c r="C869" s="396"/>
      <c r="D869" s="396"/>
      <c r="E869" s="397"/>
      <c r="F869" s="3"/>
      <c r="G869" s="3"/>
      <c r="H869" s="3"/>
      <c r="K869" s="3"/>
    </row>
    <row r="870">
      <c r="B870" s="396"/>
      <c r="C870" s="396"/>
      <c r="D870" s="396"/>
      <c r="E870" s="397"/>
      <c r="F870" s="3"/>
      <c r="G870" s="3"/>
      <c r="H870" s="3"/>
      <c r="K870" s="3"/>
    </row>
    <row r="871">
      <c r="B871" s="396"/>
      <c r="C871" s="396"/>
      <c r="D871" s="396"/>
      <c r="E871" s="397"/>
      <c r="F871" s="3"/>
      <c r="G871" s="3"/>
      <c r="H871" s="3"/>
      <c r="K871" s="3"/>
    </row>
    <row r="872">
      <c r="B872" s="396"/>
      <c r="C872" s="396"/>
      <c r="D872" s="396"/>
      <c r="E872" s="397"/>
      <c r="F872" s="3"/>
      <c r="G872" s="3"/>
      <c r="H872" s="3"/>
      <c r="K872" s="3"/>
    </row>
    <row r="873">
      <c r="B873" s="396"/>
      <c r="C873" s="396"/>
      <c r="D873" s="396"/>
      <c r="E873" s="397"/>
      <c r="F873" s="3"/>
      <c r="G873" s="3"/>
      <c r="H873" s="3"/>
      <c r="K873" s="3"/>
    </row>
    <row r="874">
      <c r="B874" s="396"/>
      <c r="C874" s="396"/>
      <c r="D874" s="396"/>
      <c r="E874" s="397"/>
      <c r="F874" s="3"/>
      <c r="G874" s="3"/>
      <c r="H874" s="3"/>
      <c r="K874" s="3"/>
    </row>
    <row r="875">
      <c r="B875" s="396"/>
      <c r="C875" s="396"/>
      <c r="D875" s="396"/>
      <c r="E875" s="397"/>
      <c r="F875" s="3"/>
      <c r="G875" s="3"/>
      <c r="H875" s="3"/>
      <c r="K875" s="3"/>
    </row>
    <row r="876">
      <c r="B876" s="396"/>
      <c r="C876" s="396"/>
      <c r="D876" s="396"/>
      <c r="E876" s="397"/>
      <c r="F876" s="3"/>
      <c r="G876" s="3"/>
      <c r="H876" s="3"/>
      <c r="K876" s="3"/>
    </row>
    <row r="877">
      <c r="B877" s="396"/>
      <c r="C877" s="396"/>
      <c r="D877" s="396"/>
      <c r="E877" s="397"/>
      <c r="F877" s="3"/>
      <c r="G877" s="3"/>
      <c r="H877" s="3"/>
      <c r="K877" s="3"/>
    </row>
    <row r="878">
      <c r="B878" s="396"/>
      <c r="C878" s="396"/>
      <c r="D878" s="396"/>
      <c r="E878" s="397"/>
      <c r="F878" s="3"/>
      <c r="G878" s="3"/>
      <c r="H878" s="3"/>
      <c r="K878" s="3"/>
    </row>
    <row r="879">
      <c r="B879" s="396"/>
      <c r="C879" s="396"/>
      <c r="D879" s="396"/>
      <c r="E879" s="397"/>
      <c r="F879" s="3"/>
      <c r="G879" s="3"/>
      <c r="H879" s="3"/>
      <c r="K879" s="3"/>
    </row>
    <row r="880">
      <c r="B880" s="396"/>
      <c r="C880" s="396"/>
      <c r="D880" s="396"/>
      <c r="E880" s="397"/>
      <c r="F880" s="3"/>
      <c r="G880" s="3"/>
      <c r="H880" s="3"/>
      <c r="K880" s="3"/>
    </row>
    <row r="881">
      <c r="B881" s="396"/>
      <c r="C881" s="396"/>
      <c r="D881" s="396"/>
      <c r="E881" s="397"/>
      <c r="F881" s="3"/>
      <c r="G881" s="3"/>
      <c r="H881" s="3"/>
      <c r="K881" s="3"/>
    </row>
    <row r="882">
      <c r="B882" s="396"/>
      <c r="C882" s="396"/>
      <c r="D882" s="396"/>
      <c r="E882" s="397"/>
      <c r="F882" s="3"/>
      <c r="G882" s="3"/>
      <c r="H882" s="3"/>
      <c r="K882" s="3"/>
    </row>
    <row r="883">
      <c r="B883" s="396"/>
      <c r="C883" s="396"/>
      <c r="D883" s="396"/>
      <c r="E883" s="397"/>
      <c r="F883" s="3"/>
      <c r="G883" s="3"/>
      <c r="H883" s="3"/>
      <c r="K883" s="3"/>
    </row>
    <row r="884">
      <c r="B884" s="396"/>
      <c r="C884" s="396"/>
      <c r="D884" s="396"/>
      <c r="E884" s="397"/>
      <c r="F884" s="3"/>
      <c r="G884" s="3"/>
      <c r="H884" s="3"/>
      <c r="K884" s="3"/>
    </row>
    <row r="885">
      <c r="B885" s="396"/>
      <c r="C885" s="396"/>
      <c r="D885" s="396"/>
      <c r="E885" s="397"/>
      <c r="F885" s="3"/>
      <c r="G885" s="3"/>
      <c r="H885" s="3"/>
      <c r="K885" s="3"/>
    </row>
    <row r="886">
      <c r="B886" s="396"/>
      <c r="C886" s="396"/>
      <c r="D886" s="396"/>
      <c r="E886" s="397"/>
      <c r="F886" s="3"/>
      <c r="G886" s="3"/>
      <c r="H886" s="3"/>
      <c r="K886" s="3"/>
    </row>
    <row r="887">
      <c r="B887" s="396"/>
      <c r="C887" s="396"/>
      <c r="D887" s="396"/>
      <c r="E887" s="397"/>
      <c r="F887" s="3"/>
      <c r="G887" s="3"/>
      <c r="H887" s="3"/>
      <c r="K887" s="3"/>
    </row>
    <row r="888">
      <c r="B888" s="396"/>
      <c r="C888" s="396"/>
      <c r="D888" s="396"/>
      <c r="E888" s="397"/>
      <c r="F888" s="3"/>
      <c r="G888" s="3"/>
      <c r="H888" s="3"/>
      <c r="K888" s="3"/>
    </row>
    <row r="889">
      <c r="B889" s="396"/>
      <c r="C889" s="396"/>
      <c r="D889" s="396"/>
      <c r="E889" s="397"/>
      <c r="F889" s="3"/>
      <c r="G889" s="3"/>
      <c r="H889" s="3"/>
      <c r="K889" s="3"/>
    </row>
    <row r="890">
      <c r="B890" s="396"/>
      <c r="C890" s="396"/>
      <c r="D890" s="396"/>
      <c r="E890" s="397"/>
      <c r="F890" s="3"/>
      <c r="G890" s="3"/>
      <c r="H890" s="3"/>
      <c r="K890" s="3"/>
    </row>
    <row r="891">
      <c r="B891" s="396"/>
      <c r="C891" s="396"/>
      <c r="D891" s="396"/>
      <c r="E891" s="397"/>
      <c r="F891" s="3"/>
      <c r="G891" s="3"/>
      <c r="H891" s="3"/>
      <c r="K891" s="3"/>
    </row>
    <row r="892">
      <c r="B892" s="396"/>
      <c r="C892" s="396"/>
      <c r="D892" s="396"/>
      <c r="E892" s="397"/>
      <c r="F892" s="3"/>
      <c r="G892" s="3"/>
      <c r="H892" s="3"/>
      <c r="K892" s="3"/>
    </row>
    <row r="893">
      <c r="B893" s="396"/>
      <c r="C893" s="396"/>
      <c r="D893" s="396"/>
      <c r="E893" s="397"/>
      <c r="F893" s="3"/>
      <c r="G893" s="3"/>
      <c r="H893" s="3"/>
      <c r="K893" s="3"/>
    </row>
    <row r="894">
      <c r="B894" s="396"/>
      <c r="C894" s="396"/>
      <c r="D894" s="396"/>
      <c r="E894" s="397"/>
      <c r="F894" s="3"/>
      <c r="G894" s="3"/>
      <c r="H894" s="3"/>
      <c r="K894" s="3"/>
    </row>
    <row r="895">
      <c r="B895" s="396"/>
      <c r="C895" s="396"/>
      <c r="D895" s="396"/>
      <c r="E895" s="397"/>
      <c r="F895" s="3"/>
      <c r="G895" s="3"/>
      <c r="H895" s="3"/>
      <c r="K895" s="3"/>
    </row>
    <row r="896">
      <c r="B896" s="396"/>
      <c r="C896" s="396"/>
      <c r="D896" s="396"/>
      <c r="E896" s="397"/>
      <c r="F896" s="3"/>
      <c r="G896" s="3"/>
      <c r="H896" s="3"/>
      <c r="K896" s="3"/>
    </row>
    <row r="897">
      <c r="B897" s="396"/>
      <c r="C897" s="396"/>
      <c r="D897" s="396"/>
      <c r="E897" s="397"/>
      <c r="F897" s="3"/>
      <c r="G897" s="3"/>
      <c r="H897" s="3"/>
      <c r="K897" s="3"/>
    </row>
    <row r="898">
      <c r="B898" s="396"/>
      <c r="C898" s="396"/>
      <c r="D898" s="396"/>
      <c r="E898" s="397"/>
      <c r="F898" s="3"/>
      <c r="G898" s="3"/>
      <c r="H898" s="3"/>
      <c r="K898" s="3"/>
    </row>
    <row r="899">
      <c r="B899" s="396"/>
      <c r="C899" s="396"/>
      <c r="D899" s="396"/>
      <c r="E899" s="397"/>
      <c r="F899" s="3"/>
      <c r="G899" s="3"/>
      <c r="H899" s="3"/>
      <c r="K899" s="3"/>
    </row>
    <row r="900">
      <c r="B900" s="396"/>
      <c r="C900" s="396"/>
      <c r="D900" s="396"/>
      <c r="E900" s="397"/>
      <c r="F900" s="3"/>
      <c r="G900" s="3"/>
      <c r="H900" s="3"/>
      <c r="K900" s="3"/>
    </row>
    <row r="901">
      <c r="B901" s="396"/>
      <c r="C901" s="396"/>
      <c r="D901" s="396"/>
      <c r="E901" s="397"/>
      <c r="F901" s="3"/>
      <c r="G901" s="3"/>
      <c r="H901" s="3"/>
      <c r="K901" s="3"/>
    </row>
    <row r="902">
      <c r="B902" s="396"/>
      <c r="C902" s="396"/>
      <c r="D902" s="396"/>
      <c r="E902" s="397"/>
      <c r="F902" s="3"/>
      <c r="G902" s="3"/>
      <c r="H902" s="3"/>
      <c r="K902" s="3"/>
    </row>
    <row r="903">
      <c r="B903" s="396"/>
      <c r="C903" s="396"/>
      <c r="D903" s="396"/>
      <c r="E903" s="397"/>
      <c r="F903" s="3"/>
      <c r="G903" s="3"/>
      <c r="H903" s="3"/>
      <c r="K903" s="3"/>
    </row>
    <row r="904">
      <c r="B904" s="396"/>
      <c r="C904" s="396"/>
      <c r="D904" s="396"/>
      <c r="E904" s="397"/>
      <c r="F904" s="3"/>
      <c r="G904" s="3"/>
      <c r="H904" s="3"/>
      <c r="K904" s="3"/>
    </row>
    <row r="905">
      <c r="B905" s="396"/>
      <c r="C905" s="396"/>
      <c r="D905" s="396"/>
      <c r="E905" s="397"/>
      <c r="F905" s="3"/>
      <c r="G905" s="3"/>
      <c r="H905" s="3"/>
      <c r="K905" s="3"/>
    </row>
    <row r="906">
      <c r="B906" s="396"/>
      <c r="C906" s="396"/>
      <c r="D906" s="396"/>
      <c r="E906" s="397"/>
      <c r="F906" s="3"/>
      <c r="G906" s="3"/>
      <c r="H906" s="3"/>
      <c r="K906" s="3"/>
    </row>
    <row r="907">
      <c r="B907" s="396"/>
      <c r="C907" s="396"/>
      <c r="D907" s="396"/>
      <c r="E907" s="397"/>
      <c r="F907" s="3"/>
      <c r="G907" s="3"/>
      <c r="H907" s="3"/>
      <c r="K907" s="3"/>
    </row>
    <row r="908">
      <c r="B908" s="396"/>
      <c r="C908" s="396"/>
      <c r="D908" s="396"/>
      <c r="E908" s="397"/>
      <c r="F908" s="3"/>
      <c r="G908" s="3"/>
      <c r="H908" s="3"/>
      <c r="K908" s="3"/>
    </row>
    <row r="909">
      <c r="B909" s="396"/>
      <c r="C909" s="396"/>
      <c r="D909" s="396"/>
      <c r="E909" s="397"/>
      <c r="F909" s="3"/>
      <c r="G909" s="3"/>
      <c r="H909" s="3"/>
      <c r="K909" s="3"/>
    </row>
    <row r="910">
      <c r="B910" s="396"/>
      <c r="C910" s="396"/>
      <c r="D910" s="396"/>
      <c r="E910" s="397"/>
      <c r="F910" s="3"/>
      <c r="G910" s="3"/>
      <c r="H910" s="3"/>
      <c r="K910" s="3"/>
    </row>
    <row r="911">
      <c r="B911" s="396"/>
      <c r="C911" s="396"/>
      <c r="D911" s="396"/>
      <c r="E911" s="397"/>
      <c r="F911" s="3"/>
      <c r="G911" s="3"/>
      <c r="H911" s="3"/>
      <c r="K911" s="3"/>
    </row>
    <row r="912">
      <c r="B912" s="396"/>
      <c r="C912" s="396"/>
      <c r="D912" s="396"/>
      <c r="E912" s="397"/>
      <c r="F912" s="3"/>
      <c r="G912" s="3"/>
      <c r="H912" s="3"/>
      <c r="K912" s="3"/>
    </row>
    <row r="913">
      <c r="B913" s="396"/>
      <c r="C913" s="396"/>
      <c r="D913" s="396"/>
      <c r="E913" s="397"/>
      <c r="F913" s="3"/>
      <c r="G913" s="3"/>
      <c r="H913" s="3"/>
      <c r="K913" s="3"/>
    </row>
    <row r="914">
      <c r="B914" s="396"/>
      <c r="C914" s="396"/>
      <c r="D914" s="396"/>
      <c r="E914" s="397"/>
      <c r="F914" s="3"/>
      <c r="G914" s="3"/>
      <c r="H914" s="3"/>
      <c r="K914" s="3"/>
    </row>
    <row r="915">
      <c r="B915" s="396"/>
      <c r="C915" s="396"/>
      <c r="D915" s="396"/>
      <c r="E915" s="397"/>
      <c r="F915" s="3"/>
      <c r="G915" s="3"/>
      <c r="H915" s="3"/>
      <c r="K915" s="3"/>
    </row>
    <row r="916">
      <c r="B916" s="396"/>
      <c r="C916" s="396"/>
      <c r="D916" s="396"/>
      <c r="E916" s="397"/>
      <c r="F916" s="3"/>
      <c r="G916" s="3"/>
      <c r="H916" s="3"/>
      <c r="K916" s="3"/>
    </row>
    <row r="917">
      <c r="B917" s="396"/>
      <c r="C917" s="396"/>
      <c r="D917" s="396"/>
      <c r="E917" s="397"/>
      <c r="F917" s="3"/>
      <c r="G917" s="3"/>
      <c r="H917" s="3"/>
      <c r="K917" s="3"/>
    </row>
    <row r="918">
      <c r="B918" s="396"/>
      <c r="C918" s="396"/>
      <c r="D918" s="396"/>
      <c r="E918" s="397"/>
      <c r="F918" s="3"/>
      <c r="G918" s="3"/>
      <c r="H918" s="3"/>
      <c r="K918" s="3"/>
    </row>
    <row r="919">
      <c r="B919" s="396"/>
      <c r="C919" s="396"/>
      <c r="D919" s="396"/>
      <c r="E919" s="397"/>
      <c r="F919" s="3"/>
      <c r="G919" s="3"/>
      <c r="H919" s="3"/>
      <c r="K919" s="3"/>
    </row>
    <row r="920">
      <c r="B920" s="396"/>
      <c r="C920" s="396"/>
      <c r="D920" s="396"/>
      <c r="E920" s="397"/>
      <c r="F920" s="3"/>
      <c r="G920" s="3"/>
      <c r="H920" s="3"/>
      <c r="K920" s="3"/>
    </row>
    <row r="921">
      <c r="B921" s="396"/>
      <c r="C921" s="396"/>
      <c r="D921" s="396"/>
      <c r="E921" s="397"/>
      <c r="F921" s="3"/>
      <c r="G921" s="3"/>
      <c r="H921" s="3"/>
      <c r="K921" s="3"/>
    </row>
    <row r="922">
      <c r="B922" s="396"/>
      <c r="C922" s="396"/>
      <c r="D922" s="396"/>
      <c r="E922" s="397"/>
      <c r="F922" s="3"/>
      <c r="G922" s="3"/>
      <c r="H922" s="3"/>
      <c r="K922" s="3"/>
    </row>
    <row r="923">
      <c r="B923" s="396"/>
      <c r="C923" s="396"/>
      <c r="D923" s="396"/>
      <c r="E923" s="397"/>
      <c r="F923" s="3"/>
      <c r="G923" s="3"/>
      <c r="H923" s="3"/>
      <c r="K923" s="3"/>
    </row>
    <row r="924">
      <c r="B924" s="396"/>
      <c r="C924" s="396"/>
      <c r="D924" s="396"/>
      <c r="E924" s="397"/>
      <c r="F924" s="3"/>
      <c r="G924" s="3"/>
      <c r="H924" s="3"/>
      <c r="K924" s="3"/>
    </row>
    <row r="925">
      <c r="B925" s="396"/>
      <c r="C925" s="396"/>
      <c r="D925" s="396"/>
      <c r="E925" s="397"/>
      <c r="F925" s="3"/>
      <c r="G925" s="3"/>
      <c r="H925" s="3"/>
      <c r="K925" s="3"/>
    </row>
    <row r="926">
      <c r="B926" s="396"/>
      <c r="C926" s="396"/>
      <c r="D926" s="396"/>
      <c r="E926" s="397"/>
      <c r="F926" s="3"/>
      <c r="G926" s="3"/>
      <c r="H926" s="3"/>
      <c r="K926" s="3"/>
    </row>
    <row r="927">
      <c r="B927" s="396"/>
      <c r="C927" s="396"/>
      <c r="D927" s="396"/>
      <c r="E927" s="397"/>
      <c r="F927" s="3"/>
      <c r="G927" s="3"/>
      <c r="H927" s="3"/>
      <c r="K927" s="3"/>
    </row>
    <row r="928">
      <c r="B928" s="396"/>
      <c r="C928" s="396"/>
      <c r="D928" s="396"/>
      <c r="E928" s="397"/>
      <c r="F928" s="3"/>
      <c r="G928" s="3"/>
      <c r="H928" s="3"/>
      <c r="K928" s="3"/>
    </row>
    <row r="929">
      <c r="B929" s="396"/>
      <c r="C929" s="396"/>
      <c r="D929" s="396"/>
      <c r="E929" s="397"/>
      <c r="F929" s="3"/>
      <c r="G929" s="3"/>
      <c r="H929" s="3"/>
      <c r="K929" s="3"/>
    </row>
    <row r="930">
      <c r="B930" s="396"/>
      <c r="C930" s="396"/>
      <c r="D930" s="396"/>
      <c r="E930" s="397"/>
      <c r="F930" s="3"/>
      <c r="G930" s="3"/>
      <c r="H930" s="3"/>
      <c r="K930" s="3"/>
    </row>
    <row r="931">
      <c r="B931" s="396"/>
      <c r="C931" s="396"/>
      <c r="D931" s="396"/>
      <c r="E931" s="397"/>
      <c r="F931" s="3"/>
      <c r="G931" s="3"/>
      <c r="H931" s="3"/>
      <c r="K931" s="3"/>
    </row>
    <row r="932">
      <c r="B932" s="396"/>
      <c r="C932" s="396"/>
      <c r="D932" s="396"/>
      <c r="E932" s="397"/>
      <c r="F932" s="3"/>
      <c r="G932" s="3"/>
      <c r="H932" s="3"/>
      <c r="K932" s="3"/>
    </row>
    <row r="933">
      <c r="B933" s="396"/>
      <c r="C933" s="396"/>
      <c r="D933" s="396"/>
      <c r="E933" s="397"/>
      <c r="F933" s="3"/>
      <c r="G933" s="3"/>
      <c r="H933" s="3"/>
      <c r="K933" s="3"/>
    </row>
    <row r="934">
      <c r="B934" s="396"/>
      <c r="C934" s="396"/>
      <c r="D934" s="396"/>
      <c r="E934" s="397"/>
      <c r="F934" s="3"/>
      <c r="G934" s="3"/>
      <c r="H934" s="3"/>
      <c r="K934" s="3"/>
    </row>
    <row r="935">
      <c r="B935" s="396"/>
      <c r="C935" s="396"/>
      <c r="D935" s="396"/>
      <c r="E935" s="397"/>
      <c r="F935" s="3"/>
      <c r="G935" s="3"/>
      <c r="H935" s="3"/>
      <c r="K935" s="3"/>
    </row>
    <row r="936">
      <c r="B936" s="396"/>
      <c r="C936" s="396"/>
      <c r="D936" s="396"/>
      <c r="E936" s="397"/>
      <c r="F936" s="3"/>
      <c r="G936" s="3"/>
      <c r="H936" s="3"/>
      <c r="K936" s="3"/>
    </row>
    <row r="937">
      <c r="B937" s="396"/>
      <c r="C937" s="396"/>
      <c r="D937" s="396"/>
      <c r="E937" s="397"/>
      <c r="F937" s="3"/>
      <c r="G937" s="3"/>
      <c r="H937" s="3"/>
      <c r="K937" s="3"/>
    </row>
    <row r="938">
      <c r="B938" s="396"/>
      <c r="C938" s="396"/>
      <c r="D938" s="396"/>
      <c r="E938" s="397"/>
      <c r="F938" s="3"/>
      <c r="G938" s="3"/>
      <c r="H938" s="3"/>
      <c r="K938" s="3"/>
    </row>
    <row r="939">
      <c r="B939" s="396"/>
      <c r="C939" s="396"/>
      <c r="D939" s="396"/>
      <c r="E939" s="397"/>
      <c r="F939" s="3"/>
      <c r="G939" s="3"/>
      <c r="H939" s="3"/>
      <c r="K939" s="3"/>
    </row>
    <row r="940">
      <c r="B940" s="396"/>
      <c r="C940" s="396"/>
      <c r="D940" s="396"/>
      <c r="E940" s="397"/>
      <c r="F940" s="3"/>
      <c r="G940" s="3"/>
      <c r="H940" s="3"/>
      <c r="K940" s="3"/>
    </row>
    <row r="941">
      <c r="B941" s="396"/>
      <c r="C941" s="396"/>
      <c r="D941" s="396"/>
      <c r="E941" s="397"/>
      <c r="F941" s="3"/>
      <c r="G941" s="3"/>
      <c r="H941" s="3"/>
      <c r="K941" s="3"/>
    </row>
    <row r="942">
      <c r="B942" s="396"/>
      <c r="C942" s="396"/>
      <c r="D942" s="396"/>
      <c r="E942" s="397"/>
      <c r="F942" s="3"/>
      <c r="G942" s="3"/>
      <c r="H942" s="3"/>
      <c r="K942" s="3"/>
    </row>
    <row r="943">
      <c r="B943" s="396"/>
      <c r="C943" s="396"/>
      <c r="D943" s="396"/>
      <c r="E943" s="397"/>
      <c r="F943" s="3"/>
      <c r="G943" s="3"/>
      <c r="H943" s="3"/>
      <c r="K943" s="3"/>
    </row>
    <row r="944">
      <c r="B944" s="396"/>
      <c r="C944" s="396"/>
      <c r="D944" s="396"/>
      <c r="E944" s="397"/>
      <c r="F944" s="3"/>
      <c r="G944" s="3"/>
      <c r="H944" s="3"/>
      <c r="K944" s="3"/>
    </row>
    <row r="945">
      <c r="B945" s="396"/>
      <c r="C945" s="396"/>
      <c r="D945" s="396"/>
      <c r="E945" s="397"/>
      <c r="K945" s="3"/>
    </row>
  </sheetData>
  <autoFilter ref="$B$2:$AE$94">
    <filterColumn colId="15">
      <filters blank="1"/>
    </filterColumn>
    <filterColumn colId="14">
      <filters>
        <filter val="2"/>
      </filters>
    </filterColumn>
  </autoFilter>
  <mergeCells count="5">
    <mergeCell ref="I32:I35"/>
    <mergeCell ref="J32:J35"/>
    <mergeCell ref="K34:K35"/>
    <mergeCell ref="I52:I53"/>
    <mergeCell ref="J52:J53"/>
  </mergeCells>
  <dataValidations>
    <dataValidation type="list" allowBlank="1" showErrorMessage="1" sqref="U3:V106">
      <formula1>"Да,Нет,Это не фронт"</formula1>
    </dataValidation>
    <dataValidation type="list" allowBlank="1" showErrorMessage="1" sqref="O3:O10 O12:O94">
      <formula1>"база данных,интеграция с платежной системой,автоматические уведомления без сложной логики,AI-аналитика,администрирование,эскалация,интеграция с ТГ,другое,интерфейс"</formula1>
    </dataValidation>
    <dataValidation type="list" allowBlank="1" showErrorMessage="1" sqref="N3:N94">
      <formula1>"уже умеет,50/50,Must,Unic,Excite,Features,Eco"</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Right="0"/>
  </sheetPr>
  <sheetViews>
    <sheetView workbookViewId="0">
      <pane xSplit="7.0" topLeftCell="H1" activePane="topRight" state="frozen"/>
      <selection activeCell="I2" sqref="I2" pane="topRight"/>
    </sheetView>
  </sheetViews>
  <sheetFormatPr customHeight="1" defaultColWidth="12.63" defaultRowHeight="15.75" outlineLevelCol="1" outlineLevelRow="1"/>
  <cols>
    <col collapsed="1" customWidth="1" min="1" max="1" width="5.63"/>
    <col customWidth="1" hidden="1" min="2" max="2" width="26.25" outlineLevel="1"/>
    <col customWidth="1" hidden="1" min="3" max="3" width="11.88" outlineLevel="1"/>
    <col customWidth="1" hidden="1" min="4" max="4" width="58.63" outlineLevel="1"/>
    <col customWidth="1" min="5" max="5" width="7.88"/>
    <col customWidth="1" min="6" max="6" width="16.88"/>
    <col customWidth="1" min="7" max="7" width="14.88"/>
    <col customWidth="1" min="8" max="8" width="64.5"/>
    <col collapsed="1" customWidth="1" min="9" max="9" width="11.38"/>
    <col customWidth="1" hidden="1" min="10" max="10" width="13.0" outlineLevel="1"/>
    <col customWidth="1" min="11" max="11" width="3.88"/>
    <col customWidth="1" min="12" max="12" width="17.88"/>
    <col customWidth="1" min="13" max="13" width="14.13"/>
    <col customWidth="1" min="14" max="14" width="32.63"/>
    <col customWidth="1" min="15" max="15" width="11.25"/>
    <col customWidth="1" min="16" max="17" width="2.75"/>
    <col customWidth="1" min="18" max="18" width="56.75"/>
    <col customWidth="1" min="19" max="19" width="19.88"/>
    <col customWidth="1" min="20" max="20" width="30.88"/>
    <col customWidth="1" min="21" max="21" width="28.0"/>
  </cols>
  <sheetData>
    <row r="1" ht="166.5" hidden="1" customHeight="1" outlineLevel="1">
      <c r="A1" s="312" t="s">
        <v>683</v>
      </c>
      <c r="B1" s="313" t="s">
        <v>9</v>
      </c>
      <c r="C1" s="313" t="s">
        <v>10</v>
      </c>
      <c r="D1" s="313" t="s">
        <v>11</v>
      </c>
      <c r="E1" s="314"/>
      <c r="F1" s="312"/>
      <c r="G1" s="312"/>
      <c r="H1" s="312"/>
      <c r="I1" s="312" t="s">
        <v>17</v>
      </c>
      <c r="J1" s="312"/>
      <c r="K1" s="312" t="s">
        <v>65</v>
      </c>
      <c r="L1" s="312" t="s">
        <v>256</v>
      </c>
      <c r="M1" s="312" t="s">
        <v>257</v>
      </c>
      <c r="N1" s="312" t="s">
        <v>67</v>
      </c>
      <c r="O1" s="312" t="s">
        <v>14</v>
      </c>
      <c r="P1" s="312"/>
      <c r="Q1" s="312"/>
      <c r="R1" s="312" t="s">
        <v>684</v>
      </c>
      <c r="S1" s="312" t="s">
        <v>68</v>
      </c>
    </row>
    <row r="2" collapsed="1">
      <c r="A2" s="315" t="s">
        <v>917</v>
      </c>
      <c r="B2" s="316" t="s">
        <v>686</v>
      </c>
      <c r="C2" s="316" t="s">
        <v>687</v>
      </c>
      <c r="D2" s="316" t="s">
        <v>688</v>
      </c>
      <c r="E2" s="317" t="s">
        <v>689</v>
      </c>
      <c r="F2" s="315" t="s">
        <v>690</v>
      </c>
      <c r="G2" s="315" t="s">
        <v>691</v>
      </c>
      <c r="H2" s="315" t="s">
        <v>692</v>
      </c>
      <c r="I2" s="315" t="s">
        <v>693</v>
      </c>
      <c r="J2" s="318" t="s">
        <v>694</v>
      </c>
      <c r="K2" s="315"/>
      <c r="L2" s="315" t="s">
        <v>256</v>
      </c>
      <c r="M2" s="315" t="s">
        <v>918</v>
      </c>
      <c r="N2" s="315" t="s">
        <v>13</v>
      </c>
      <c r="O2" s="315" t="s">
        <v>14</v>
      </c>
      <c r="P2" s="315"/>
      <c r="Q2" s="315"/>
      <c r="R2" s="315" t="s">
        <v>16</v>
      </c>
      <c r="S2" s="315" t="s">
        <v>19</v>
      </c>
      <c r="T2" s="117" t="s">
        <v>695</v>
      </c>
      <c r="U2" s="117" t="s">
        <v>696</v>
      </c>
    </row>
    <row r="3">
      <c r="A3" s="319">
        <v>1.0</v>
      </c>
      <c r="B3" s="320" t="s">
        <v>70</v>
      </c>
      <c r="C3" s="321" t="s">
        <v>71</v>
      </c>
      <c r="D3" s="321" t="s">
        <v>72</v>
      </c>
      <c r="E3" s="322" t="s">
        <v>697</v>
      </c>
      <c r="F3" s="329" t="s">
        <v>919</v>
      </c>
      <c r="G3" s="325"/>
      <c r="H3" s="325" t="s">
        <v>920</v>
      </c>
      <c r="I3" s="326">
        <v>6.0</v>
      </c>
      <c r="J3" s="327">
        <v>16.0</v>
      </c>
      <c r="K3" s="327"/>
      <c r="L3" s="318"/>
      <c r="M3" s="327" t="s">
        <v>260</v>
      </c>
      <c r="N3" s="327" t="s">
        <v>261</v>
      </c>
      <c r="O3" s="327">
        <v>1.0</v>
      </c>
      <c r="P3" s="327"/>
      <c r="Q3" s="327"/>
      <c r="R3" s="327"/>
      <c r="S3" s="328"/>
      <c r="T3" s="117" t="s">
        <v>699</v>
      </c>
      <c r="U3" s="155"/>
    </row>
    <row r="4">
      <c r="A4" s="402"/>
      <c r="B4" s="387"/>
      <c r="C4" s="388"/>
      <c r="D4" s="388"/>
      <c r="E4" s="403"/>
      <c r="F4" s="329" t="s">
        <v>921</v>
      </c>
      <c r="G4" s="329"/>
      <c r="H4" s="329" t="s">
        <v>922</v>
      </c>
      <c r="I4" s="404">
        <v>4.0</v>
      </c>
      <c r="J4" s="404"/>
      <c r="K4" s="404"/>
      <c r="L4" s="318"/>
      <c r="M4" s="404"/>
      <c r="N4" s="404"/>
      <c r="O4" s="404"/>
      <c r="P4" s="404"/>
      <c r="Q4" s="404"/>
      <c r="R4" s="404"/>
      <c r="S4" s="405"/>
      <c r="T4" s="155"/>
      <c r="U4" s="155"/>
    </row>
    <row r="5">
      <c r="A5" s="402"/>
      <c r="B5" s="387"/>
      <c r="C5" s="388"/>
      <c r="D5" s="388"/>
      <c r="E5" s="403"/>
      <c r="F5" s="329" t="s">
        <v>923</v>
      </c>
      <c r="G5" s="329"/>
      <c r="H5" s="329" t="s">
        <v>924</v>
      </c>
      <c r="I5" s="404">
        <v>6.0</v>
      </c>
      <c r="J5" s="404"/>
      <c r="K5" s="404"/>
      <c r="M5" s="404"/>
      <c r="N5" s="404"/>
      <c r="O5" s="404"/>
      <c r="P5" s="404"/>
      <c r="Q5" s="404"/>
      <c r="R5" s="404"/>
      <c r="S5" s="405"/>
      <c r="T5" s="155"/>
      <c r="U5" s="155"/>
    </row>
    <row r="6">
      <c r="A6" s="402"/>
      <c r="B6" s="387"/>
      <c r="C6" s="388"/>
      <c r="D6" s="381"/>
      <c r="E6" s="403"/>
      <c r="F6" s="329" t="s">
        <v>925</v>
      </c>
      <c r="G6" s="329"/>
      <c r="H6" s="329" t="s">
        <v>926</v>
      </c>
      <c r="I6" s="404">
        <v>4.0</v>
      </c>
      <c r="J6" s="404"/>
      <c r="K6" s="404"/>
      <c r="L6" s="334"/>
      <c r="M6" s="404"/>
      <c r="N6" s="404"/>
      <c r="O6" s="404"/>
      <c r="P6" s="404"/>
      <c r="Q6" s="404"/>
      <c r="R6" s="404"/>
      <c r="S6" s="405"/>
      <c r="T6" s="155"/>
      <c r="U6" s="155"/>
    </row>
    <row r="7">
      <c r="A7" s="402"/>
      <c r="B7" s="387"/>
      <c r="C7" s="381"/>
      <c r="D7" s="381"/>
      <c r="E7" s="403"/>
      <c r="F7" s="329" t="s">
        <v>927</v>
      </c>
      <c r="G7" s="329"/>
      <c r="H7" s="329" t="s">
        <v>928</v>
      </c>
      <c r="I7" s="404">
        <v>3.0</v>
      </c>
      <c r="J7" s="404"/>
      <c r="K7" s="404"/>
      <c r="L7" s="334"/>
      <c r="M7" s="404"/>
      <c r="N7" s="404"/>
      <c r="O7" s="404"/>
      <c r="P7" s="404"/>
      <c r="Q7" s="404"/>
      <c r="R7" s="404"/>
      <c r="S7" s="405"/>
      <c r="T7" s="155"/>
      <c r="U7" s="155"/>
    </row>
    <row r="8">
      <c r="A8" s="402"/>
      <c r="B8" s="387"/>
      <c r="C8" s="381"/>
      <c r="D8" s="381"/>
      <c r="E8" s="403"/>
      <c r="F8" s="329" t="s">
        <v>929</v>
      </c>
      <c r="G8" s="329"/>
      <c r="H8" s="329" t="s">
        <v>930</v>
      </c>
      <c r="I8" s="404">
        <v>6.0</v>
      </c>
      <c r="J8" s="404"/>
      <c r="K8" s="404"/>
      <c r="L8" s="318"/>
      <c r="M8" s="404"/>
      <c r="N8" s="404"/>
      <c r="O8" s="404"/>
      <c r="P8" s="404"/>
      <c r="Q8" s="404"/>
      <c r="R8" s="404"/>
      <c r="S8" s="405"/>
      <c r="T8" s="155"/>
      <c r="U8" s="155"/>
    </row>
    <row r="9">
      <c r="A9" s="402"/>
      <c r="B9" s="387"/>
      <c r="C9" s="381"/>
      <c r="D9" s="381"/>
      <c r="E9" s="403"/>
      <c r="F9" s="329" t="s">
        <v>931</v>
      </c>
      <c r="G9" s="329"/>
      <c r="H9" s="329" t="s">
        <v>932</v>
      </c>
      <c r="I9" s="404">
        <v>8.0</v>
      </c>
      <c r="J9" s="404"/>
      <c r="K9" s="404"/>
      <c r="L9" s="334"/>
      <c r="M9" s="404"/>
      <c r="N9" s="404"/>
      <c r="O9" s="404"/>
      <c r="P9" s="404"/>
      <c r="Q9" s="404"/>
      <c r="R9" s="404"/>
      <c r="S9" s="405"/>
      <c r="T9" s="155"/>
      <c r="U9" s="155"/>
    </row>
    <row r="10">
      <c r="A10" s="402"/>
      <c r="B10" s="387"/>
      <c r="C10" s="381"/>
      <c r="D10" s="381"/>
      <c r="E10" s="403"/>
      <c r="F10" s="329" t="s">
        <v>933</v>
      </c>
      <c r="G10" s="329"/>
      <c r="H10" s="329" t="s">
        <v>934</v>
      </c>
      <c r="I10" s="404">
        <v>4.0</v>
      </c>
      <c r="J10" s="404"/>
      <c r="K10" s="404"/>
      <c r="L10" s="334"/>
      <c r="M10" s="404"/>
      <c r="N10" s="404"/>
      <c r="O10" s="404"/>
      <c r="P10" s="404"/>
      <c r="Q10" s="404"/>
      <c r="R10" s="404"/>
      <c r="S10" s="405"/>
      <c r="T10" s="155"/>
      <c r="U10" s="155"/>
    </row>
    <row r="11">
      <c r="A11" s="402"/>
      <c r="B11" s="387"/>
      <c r="C11" s="381"/>
      <c r="D11" s="381"/>
      <c r="E11" s="403"/>
      <c r="F11" s="329" t="s">
        <v>935</v>
      </c>
      <c r="G11" s="329"/>
      <c r="H11" s="329" t="s">
        <v>936</v>
      </c>
      <c r="I11" s="404">
        <v>8.0</v>
      </c>
      <c r="J11" s="404"/>
      <c r="K11" s="404"/>
      <c r="L11" s="318"/>
      <c r="M11" s="404"/>
      <c r="N11" s="404"/>
      <c r="O11" s="404"/>
      <c r="P11" s="404"/>
      <c r="Q11" s="404"/>
      <c r="R11" s="404"/>
      <c r="S11" s="405"/>
      <c r="T11" s="155"/>
      <c r="U11" s="155"/>
    </row>
    <row r="12">
      <c r="A12" s="402"/>
      <c r="B12" s="387"/>
      <c r="C12" s="381"/>
      <c r="D12" s="381"/>
      <c r="E12" s="403"/>
      <c r="F12" s="329"/>
      <c r="G12" s="329"/>
      <c r="H12" s="329"/>
      <c r="I12" s="404"/>
      <c r="J12" s="404"/>
      <c r="K12" s="404"/>
      <c r="L12" s="318"/>
      <c r="M12" s="404"/>
      <c r="N12" s="404"/>
      <c r="O12" s="404"/>
      <c r="P12" s="404"/>
      <c r="Q12" s="404"/>
      <c r="R12" s="404"/>
      <c r="S12" s="405"/>
      <c r="T12" s="155"/>
      <c r="U12" s="155"/>
    </row>
    <row r="13">
      <c r="A13" s="402"/>
      <c r="B13" s="387"/>
      <c r="C13" s="381"/>
      <c r="D13" s="381"/>
      <c r="E13" s="403"/>
      <c r="F13" s="329" t="s">
        <v>937</v>
      </c>
      <c r="G13" s="329"/>
      <c r="H13" s="329" t="s">
        <v>938</v>
      </c>
      <c r="I13" s="404">
        <v>12.0</v>
      </c>
      <c r="J13" s="404"/>
      <c r="K13" s="404"/>
      <c r="L13" s="334"/>
      <c r="M13" s="404"/>
      <c r="N13" s="404"/>
      <c r="O13" s="404"/>
      <c r="P13" s="404"/>
      <c r="Q13" s="404"/>
      <c r="R13" s="404"/>
      <c r="S13" s="405"/>
      <c r="T13" s="155"/>
      <c r="U13" s="155"/>
    </row>
    <row r="14">
      <c r="A14" s="402"/>
      <c r="B14" s="387"/>
      <c r="C14" s="381"/>
      <c r="D14" s="381"/>
      <c r="E14" s="403"/>
      <c r="F14" s="329" t="s">
        <v>939</v>
      </c>
      <c r="G14" s="329"/>
      <c r="H14" s="329" t="s">
        <v>940</v>
      </c>
      <c r="I14" s="404">
        <v>3.0</v>
      </c>
      <c r="J14" s="404"/>
      <c r="K14" s="404"/>
      <c r="L14" s="318"/>
      <c r="M14" s="404"/>
      <c r="N14" s="404"/>
      <c r="O14" s="404"/>
      <c r="P14" s="404"/>
      <c r="Q14" s="404"/>
      <c r="R14" s="404"/>
      <c r="S14" s="405"/>
      <c r="T14" s="155"/>
      <c r="U14" s="155"/>
    </row>
    <row r="15">
      <c r="A15" s="402"/>
      <c r="B15" s="387"/>
      <c r="C15" s="381"/>
      <c r="D15" s="381"/>
      <c r="E15" s="403"/>
      <c r="F15" s="329" t="s">
        <v>941</v>
      </c>
      <c r="G15" s="329"/>
      <c r="H15" s="329"/>
      <c r="I15" s="404">
        <v>3.0</v>
      </c>
      <c r="J15" s="404"/>
      <c r="K15" s="404"/>
      <c r="L15" s="334"/>
      <c r="M15" s="404"/>
      <c r="N15" s="404"/>
      <c r="O15" s="404"/>
      <c r="P15" s="404"/>
      <c r="Q15" s="404"/>
      <c r="R15" s="404"/>
      <c r="S15" s="405"/>
      <c r="T15" s="155"/>
      <c r="U15" s="155"/>
    </row>
    <row r="16">
      <c r="A16" s="402"/>
      <c r="B16" s="387"/>
      <c r="C16" s="381"/>
      <c r="D16" s="381"/>
      <c r="E16" s="403"/>
      <c r="F16" s="329" t="s">
        <v>942</v>
      </c>
      <c r="G16" s="329"/>
      <c r="H16" s="329"/>
      <c r="I16" s="404">
        <v>3.0</v>
      </c>
      <c r="J16" s="404"/>
      <c r="K16" s="404"/>
      <c r="L16" s="334"/>
      <c r="M16" s="404"/>
      <c r="N16" s="404"/>
      <c r="O16" s="404"/>
      <c r="P16" s="404"/>
      <c r="Q16" s="404"/>
      <c r="R16" s="404"/>
      <c r="S16" s="405"/>
      <c r="T16" s="155"/>
      <c r="U16" s="155"/>
    </row>
    <row r="17">
      <c r="A17" s="402"/>
      <c r="B17" s="387"/>
      <c r="C17" s="381"/>
      <c r="D17" s="381"/>
      <c r="E17" s="403"/>
      <c r="F17" s="329" t="s">
        <v>943</v>
      </c>
      <c r="G17" s="329"/>
      <c r="H17" s="329"/>
      <c r="I17" s="404">
        <v>3.0</v>
      </c>
      <c r="J17" s="404"/>
      <c r="K17" s="404"/>
      <c r="L17" s="334"/>
      <c r="M17" s="404"/>
      <c r="N17" s="404"/>
      <c r="O17" s="404"/>
      <c r="P17" s="404"/>
      <c r="Q17" s="404"/>
      <c r="R17" s="404"/>
      <c r="S17" s="405"/>
      <c r="T17" s="155"/>
      <c r="U17" s="155"/>
    </row>
    <row r="18">
      <c r="A18" s="402"/>
      <c r="B18" s="387"/>
      <c r="C18" s="388"/>
      <c r="D18" s="388"/>
      <c r="E18" s="403"/>
      <c r="F18" s="329" t="s">
        <v>944</v>
      </c>
      <c r="G18" s="329"/>
      <c r="H18" s="329" t="s">
        <v>945</v>
      </c>
      <c r="I18" s="404">
        <v>21.0</v>
      </c>
      <c r="J18" s="404"/>
      <c r="K18" s="404"/>
      <c r="L18" s="340"/>
      <c r="M18" s="404"/>
      <c r="N18" s="404"/>
      <c r="O18" s="404"/>
      <c r="P18" s="406"/>
      <c r="Q18" s="406"/>
      <c r="R18" s="406"/>
      <c r="S18" s="405"/>
      <c r="T18" s="155"/>
      <c r="U18" s="155"/>
    </row>
    <row r="19">
      <c r="A19" s="402"/>
      <c r="B19" s="387"/>
      <c r="C19" s="388"/>
      <c r="D19" s="388"/>
      <c r="E19" s="403"/>
      <c r="F19" s="329" t="s">
        <v>946</v>
      </c>
      <c r="G19" s="329"/>
      <c r="H19" s="329"/>
      <c r="I19" s="117">
        <v>8.0</v>
      </c>
      <c r="J19" s="404"/>
      <c r="K19" s="404"/>
      <c r="L19" s="334"/>
      <c r="M19" s="404"/>
      <c r="N19" s="404"/>
      <c r="O19" s="404"/>
      <c r="P19" s="406"/>
      <c r="Q19" s="406"/>
      <c r="R19" s="406"/>
      <c r="S19" s="405"/>
      <c r="T19" s="155"/>
      <c r="U19" s="155"/>
    </row>
    <row r="20">
      <c r="A20" s="402"/>
      <c r="B20" s="387"/>
      <c r="C20" s="388"/>
      <c r="D20" s="388"/>
      <c r="E20" s="403"/>
      <c r="F20" s="329"/>
      <c r="G20" s="329"/>
      <c r="H20" s="329"/>
      <c r="I20" s="404"/>
      <c r="J20" s="404"/>
      <c r="K20" s="404"/>
      <c r="L20" s="334"/>
      <c r="M20" s="404"/>
      <c r="N20" s="404"/>
      <c r="O20" s="404"/>
      <c r="P20" s="406"/>
      <c r="Q20" s="406"/>
      <c r="R20" s="406"/>
      <c r="S20" s="405"/>
      <c r="T20" s="155"/>
      <c r="U20" s="155"/>
    </row>
    <row r="21">
      <c r="A21" s="402"/>
      <c r="B21" s="387"/>
      <c r="C21" s="388"/>
      <c r="D21" s="388"/>
      <c r="E21" s="403"/>
      <c r="F21" s="329"/>
      <c r="G21" s="329"/>
      <c r="H21" s="329"/>
      <c r="I21" s="406"/>
      <c r="J21" s="406"/>
      <c r="K21" s="404"/>
      <c r="L21" s="334"/>
      <c r="M21" s="404"/>
      <c r="N21" s="404"/>
      <c r="O21" s="404"/>
      <c r="P21" s="406"/>
      <c r="Q21" s="406"/>
      <c r="R21" s="406"/>
      <c r="S21" s="405"/>
      <c r="T21" s="155"/>
      <c r="U21" s="155"/>
    </row>
    <row r="22">
      <c r="A22" s="402"/>
      <c r="B22" s="387"/>
      <c r="C22" s="388"/>
      <c r="D22" s="388"/>
      <c r="E22" s="403"/>
      <c r="F22" s="329"/>
      <c r="G22" s="329"/>
      <c r="H22" s="329"/>
      <c r="I22" s="406"/>
      <c r="J22" s="406"/>
      <c r="K22" s="404"/>
      <c r="L22" s="334"/>
      <c r="M22" s="404"/>
      <c r="N22" s="404"/>
      <c r="O22" s="404"/>
      <c r="P22" s="406"/>
      <c r="Q22" s="406"/>
      <c r="R22" s="406"/>
      <c r="S22" s="405"/>
      <c r="T22" s="155"/>
      <c r="U22" s="155"/>
    </row>
    <row r="23">
      <c r="A23" s="402"/>
      <c r="B23" s="387"/>
      <c r="C23" s="388"/>
      <c r="D23" s="388"/>
      <c r="E23" s="403"/>
      <c r="F23" s="329"/>
      <c r="G23" s="329"/>
      <c r="H23" s="329"/>
      <c r="I23" s="404"/>
      <c r="J23" s="404"/>
      <c r="K23" s="407"/>
      <c r="L23" s="318"/>
      <c r="M23" s="404"/>
      <c r="N23" s="404"/>
      <c r="O23" s="404"/>
      <c r="P23" s="406"/>
      <c r="Q23" s="406"/>
      <c r="R23" s="406"/>
      <c r="S23" s="405"/>
      <c r="T23" s="155"/>
      <c r="U23" s="155"/>
    </row>
    <row r="24">
      <c r="A24" s="402"/>
      <c r="B24" s="387"/>
      <c r="C24" s="388"/>
      <c r="D24" s="388"/>
      <c r="E24" s="403"/>
      <c r="F24" s="329"/>
      <c r="G24" s="329"/>
      <c r="H24" s="329"/>
      <c r="I24" s="404"/>
      <c r="J24" s="404"/>
      <c r="K24" s="404"/>
      <c r="L24" s="334"/>
      <c r="M24" s="404"/>
      <c r="N24" s="404"/>
      <c r="O24" s="406"/>
      <c r="P24" s="406"/>
      <c r="Q24" s="406"/>
      <c r="R24" s="406"/>
      <c r="S24" s="405"/>
      <c r="T24" s="155"/>
      <c r="U24" s="155"/>
    </row>
    <row r="25">
      <c r="A25" s="402"/>
      <c r="B25" s="387"/>
      <c r="C25" s="388"/>
      <c r="D25" s="388"/>
      <c r="E25" s="403"/>
      <c r="F25" s="329"/>
      <c r="G25" s="329"/>
      <c r="H25" s="329"/>
      <c r="I25" s="404"/>
      <c r="J25" s="404"/>
      <c r="K25" s="404"/>
      <c r="L25" s="334"/>
      <c r="M25" s="404"/>
      <c r="N25" s="404"/>
      <c r="O25" s="404"/>
      <c r="P25" s="406"/>
      <c r="Q25" s="406"/>
      <c r="R25" s="406"/>
      <c r="S25" s="405"/>
      <c r="T25" s="155"/>
      <c r="U25" s="155"/>
    </row>
    <row r="26">
      <c r="A26" s="402"/>
      <c r="B26" s="387"/>
      <c r="C26" s="388"/>
      <c r="D26" s="388"/>
      <c r="E26" s="403"/>
      <c r="F26" s="329"/>
      <c r="G26" s="329"/>
      <c r="H26" s="329"/>
      <c r="I26" s="404"/>
      <c r="J26" s="404"/>
      <c r="K26" s="404"/>
      <c r="L26" s="334"/>
      <c r="M26" s="404"/>
      <c r="N26" s="404"/>
      <c r="O26" s="404"/>
      <c r="P26" s="406"/>
      <c r="Q26" s="406"/>
      <c r="R26" s="406"/>
      <c r="S26" s="405"/>
      <c r="T26" s="155"/>
      <c r="U26" s="155"/>
    </row>
    <row r="27">
      <c r="A27" s="402"/>
      <c r="B27" s="387"/>
      <c r="C27" s="388"/>
      <c r="D27" s="388"/>
      <c r="E27" s="403"/>
      <c r="F27" s="329"/>
      <c r="G27" s="329"/>
      <c r="H27" s="329"/>
      <c r="I27" s="406"/>
      <c r="J27" s="406"/>
      <c r="K27" s="404"/>
      <c r="L27" s="334"/>
      <c r="M27" s="404"/>
      <c r="N27" s="404"/>
      <c r="O27" s="404"/>
      <c r="P27" s="406"/>
      <c r="Q27" s="406"/>
      <c r="R27" s="406"/>
      <c r="S27" s="405"/>
      <c r="T27" s="155"/>
      <c r="U27" s="155"/>
    </row>
    <row r="28">
      <c r="A28" s="402"/>
      <c r="B28" s="387"/>
      <c r="C28" s="388"/>
      <c r="D28" s="388"/>
      <c r="E28" s="403"/>
      <c r="F28" s="329"/>
      <c r="G28" s="329"/>
      <c r="H28" s="329"/>
      <c r="I28" s="404"/>
      <c r="J28" s="404"/>
      <c r="K28" s="404"/>
      <c r="L28" s="334"/>
      <c r="M28" s="404"/>
      <c r="N28" s="404"/>
      <c r="O28" s="404"/>
      <c r="P28" s="404"/>
      <c r="Q28" s="404"/>
      <c r="R28" s="406"/>
      <c r="S28" s="405"/>
      <c r="T28" s="155"/>
      <c r="U28" s="155"/>
    </row>
    <row r="29">
      <c r="A29" s="402"/>
      <c r="B29" s="387"/>
      <c r="C29" s="388"/>
      <c r="D29" s="388"/>
      <c r="E29" s="403"/>
      <c r="F29" s="329"/>
      <c r="G29" s="329"/>
      <c r="H29" s="329"/>
      <c r="I29" s="406"/>
      <c r="J29" s="406"/>
      <c r="K29" s="404"/>
      <c r="L29" s="334"/>
      <c r="M29" s="404"/>
      <c r="N29" s="404"/>
      <c r="O29" s="404"/>
      <c r="P29" s="404"/>
      <c r="Q29" s="404"/>
      <c r="R29" s="406"/>
      <c r="S29" s="405"/>
      <c r="T29" s="155"/>
      <c r="U29" s="155"/>
    </row>
    <row r="30">
      <c r="A30" s="402"/>
      <c r="B30" s="408"/>
      <c r="C30" s="388"/>
      <c r="D30" s="388"/>
      <c r="E30" s="348"/>
      <c r="F30" s="329"/>
      <c r="G30" s="329"/>
      <c r="H30" s="329"/>
      <c r="I30" s="404"/>
      <c r="J30" s="404"/>
      <c r="K30" s="404"/>
      <c r="L30" s="334"/>
      <c r="M30" s="404"/>
      <c r="N30" s="404"/>
      <c r="O30" s="404"/>
      <c r="P30" s="404"/>
      <c r="Q30" s="404"/>
      <c r="R30" s="406"/>
      <c r="S30" s="405"/>
      <c r="T30" s="155"/>
      <c r="U30" s="155"/>
    </row>
    <row r="31">
      <c r="A31" s="402"/>
      <c r="B31" s="408"/>
      <c r="C31" s="388"/>
      <c r="D31" s="388"/>
      <c r="F31" s="329"/>
      <c r="G31" s="329"/>
      <c r="H31" s="329"/>
      <c r="I31" s="404"/>
      <c r="J31" s="404"/>
      <c r="K31" s="404"/>
      <c r="L31" s="334"/>
      <c r="M31" s="404"/>
      <c r="N31" s="404"/>
      <c r="O31" s="406"/>
      <c r="P31" s="406"/>
      <c r="Q31" s="406"/>
      <c r="R31" s="406"/>
      <c r="S31" s="405"/>
      <c r="T31" s="155"/>
      <c r="U31" s="155"/>
    </row>
    <row r="32">
      <c r="A32" s="402"/>
      <c r="B32" s="408"/>
      <c r="C32" s="388"/>
      <c r="D32" s="388"/>
      <c r="E32" s="348"/>
      <c r="F32" s="329"/>
      <c r="G32" s="329"/>
      <c r="H32" s="329"/>
      <c r="I32" s="409"/>
      <c r="J32" s="409"/>
      <c r="K32" s="404"/>
      <c r="L32" s="334"/>
      <c r="M32" s="404"/>
      <c r="N32" s="404"/>
      <c r="O32" s="404"/>
      <c r="P32" s="406"/>
      <c r="Q32" s="406"/>
      <c r="R32" s="406"/>
      <c r="S32" s="405"/>
      <c r="T32" s="155"/>
      <c r="U32" s="155"/>
    </row>
    <row r="33">
      <c r="A33" s="402"/>
      <c r="B33" s="408"/>
      <c r="C33" s="388"/>
      <c r="D33" s="388"/>
      <c r="E33" s="348"/>
      <c r="F33" s="329"/>
      <c r="G33" s="329"/>
      <c r="H33" s="329"/>
      <c r="I33" s="353"/>
      <c r="J33" s="353"/>
      <c r="K33" s="410"/>
      <c r="L33" s="334"/>
      <c r="M33" s="404"/>
      <c r="N33" s="404"/>
      <c r="O33" s="410"/>
      <c r="P33" s="411"/>
      <c r="Q33" s="411"/>
      <c r="R33" s="411"/>
      <c r="S33" s="412"/>
      <c r="T33" s="155"/>
      <c r="U33" s="155"/>
    </row>
    <row r="34">
      <c r="A34" s="402"/>
      <c r="B34" s="408"/>
      <c r="C34" s="388"/>
      <c r="D34" s="388"/>
      <c r="E34" s="348"/>
      <c r="F34" s="329"/>
      <c r="G34" s="329"/>
      <c r="H34" s="329"/>
      <c r="I34" s="353"/>
      <c r="J34" s="353"/>
      <c r="K34" s="410"/>
      <c r="L34" s="334"/>
      <c r="M34" s="404"/>
      <c r="N34" s="404"/>
      <c r="O34" s="410"/>
      <c r="P34" s="411"/>
      <c r="Q34" s="411"/>
      <c r="R34" s="411"/>
      <c r="S34" s="412"/>
      <c r="T34" s="155"/>
      <c r="U34" s="155"/>
    </row>
    <row r="35">
      <c r="A35" s="402"/>
      <c r="B35" s="408"/>
      <c r="C35" s="388"/>
      <c r="D35" s="388"/>
      <c r="E35" s="348"/>
      <c r="F35" s="329"/>
      <c r="G35" s="329"/>
      <c r="H35" s="329"/>
      <c r="I35" s="358"/>
      <c r="J35" s="358"/>
      <c r="K35" s="410"/>
      <c r="L35" s="334"/>
      <c r="M35" s="404"/>
      <c r="N35" s="404"/>
      <c r="O35" s="410"/>
      <c r="P35" s="411"/>
      <c r="Q35" s="411"/>
      <c r="R35" s="411"/>
      <c r="S35" s="412"/>
      <c r="T35" s="155"/>
      <c r="U35" s="155"/>
    </row>
    <row r="36">
      <c r="A36" s="402"/>
      <c r="B36" s="408"/>
      <c r="C36" s="388"/>
      <c r="D36" s="388"/>
      <c r="E36" s="348"/>
      <c r="F36" s="329"/>
      <c r="G36" s="329"/>
      <c r="H36" s="329"/>
      <c r="I36" s="411"/>
      <c r="J36" s="411"/>
      <c r="K36" s="410"/>
      <c r="L36" s="334"/>
      <c r="M36" s="404"/>
      <c r="N36" s="404"/>
      <c r="O36" s="410"/>
      <c r="P36" s="410"/>
      <c r="Q36" s="410"/>
      <c r="R36" s="411"/>
      <c r="S36" s="412"/>
      <c r="T36" s="155"/>
      <c r="U36" s="155"/>
    </row>
    <row r="37">
      <c r="A37" s="402"/>
      <c r="B37" s="408"/>
      <c r="C37" s="388"/>
      <c r="D37" s="388"/>
      <c r="E37" s="348"/>
      <c r="F37" s="329"/>
      <c r="G37" s="329"/>
      <c r="H37" s="329"/>
      <c r="I37" s="411"/>
      <c r="J37" s="411"/>
      <c r="K37" s="410"/>
      <c r="L37" s="334"/>
      <c r="M37" s="404"/>
      <c r="N37" s="404"/>
      <c r="O37" s="410"/>
      <c r="P37" s="411"/>
      <c r="Q37" s="411"/>
      <c r="R37" s="411"/>
      <c r="S37" s="412"/>
      <c r="T37" s="155"/>
      <c r="U37" s="155"/>
    </row>
    <row r="38">
      <c r="A38" s="402"/>
      <c r="B38" s="408"/>
      <c r="C38" s="388"/>
      <c r="D38" s="388"/>
      <c r="E38" s="348"/>
      <c r="F38" s="329"/>
      <c r="G38" s="329"/>
      <c r="H38" s="329"/>
      <c r="I38" s="410"/>
      <c r="J38" s="410"/>
      <c r="K38" s="410"/>
      <c r="L38" s="334"/>
      <c r="M38" s="404"/>
      <c r="N38" s="404"/>
      <c r="O38" s="410"/>
      <c r="P38" s="410"/>
      <c r="Q38" s="410"/>
      <c r="R38" s="411"/>
      <c r="S38" s="412"/>
      <c r="T38" s="155"/>
      <c r="U38" s="155"/>
    </row>
    <row r="39">
      <c r="A39" s="402"/>
      <c r="B39" s="408"/>
      <c r="C39" s="388"/>
      <c r="D39" s="388"/>
      <c r="E39" s="348"/>
      <c r="F39" s="329"/>
      <c r="G39" s="329"/>
      <c r="H39" s="329"/>
      <c r="I39" s="410"/>
      <c r="J39" s="410"/>
      <c r="K39" s="410"/>
      <c r="L39" s="334"/>
      <c r="M39" s="404"/>
      <c r="N39" s="404"/>
      <c r="O39" s="410"/>
      <c r="P39" s="411"/>
      <c r="Q39" s="411"/>
      <c r="R39" s="411"/>
      <c r="S39" s="412"/>
      <c r="T39" s="155"/>
      <c r="U39" s="155"/>
    </row>
    <row r="40">
      <c r="A40" s="402"/>
      <c r="B40" s="408"/>
      <c r="C40" s="388"/>
      <c r="D40" s="388"/>
      <c r="E40" s="348"/>
      <c r="F40" s="329"/>
      <c r="G40" s="329"/>
      <c r="H40" s="329"/>
      <c r="I40" s="410"/>
      <c r="J40" s="410"/>
      <c r="K40" s="410"/>
      <c r="L40" s="334"/>
      <c r="M40" s="404"/>
      <c r="N40" s="404"/>
      <c r="O40" s="410"/>
      <c r="P40" s="410"/>
      <c r="Q40" s="410"/>
      <c r="R40" s="411"/>
      <c r="S40" s="412"/>
      <c r="T40" s="155"/>
      <c r="U40" s="155"/>
    </row>
    <row r="41">
      <c r="A41" s="402"/>
      <c r="B41" s="408"/>
      <c r="C41" s="388"/>
      <c r="D41" s="388"/>
      <c r="E41" s="348"/>
      <c r="F41" s="329"/>
      <c r="G41" s="329"/>
      <c r="H41" s="329"/>
      <c r="I41" s="411"/>
      <c r="J41" s="411"/>
      <c r="K41" s="410"/>
      <c r="L41" s="334"/>
      <c r="M41" s="404"/>
      <c r="N41" s="404"/>
      <c r="O41" s="410"/>
      <c r="P41" s="410"/>
      <c r="Q41" s="411"/>
      <c r="R41" s="411"/>
      <c r="S41" s="412"/>
      <c r="T41" s="155"/>
      <c r="U41" s="155"/>
    </row>
    <row r="42">
      <c r="A42" s="402"/>
      <c r="B42" s="408"/>
      <c r="C42" s="388"/>
      <c r="D42" s="388"/>
      <c r="E42" s="348"/>
      <c r="F42" s="329"/>
      <c r="G42" s="329"/>
      <c r="H42" s="329"/>
      <c r="I42" s="411"/>
      <c r="J42" s="411"/>
      <c r="K42" s="410"/>
      <c r="L42" s="334"/>
      <c r="M42" s="404"/>
      <c r="N42" s="404"/>
      <c r="O42" s="410"/>
      <c r="P42" s="411"/>
      <c r="Q42" s="411"/>
      <c r="R42" s="411"/>
      <c r="S42" s="412"/>
      <c r="T42" s="155"/>
      <c r="U42" s="155"/>
    </row>
    <row r="43">
      <c r="A43" s="402"/>
      <c r="B43" s="408"/>
      <c r="C43" s="388"/>
      <c r="D43" s="388"/>
      <c r="E43" s="348"/>
      <c r="F43" s="329"/>
      <c r="G43" s="329"/>
      <c r="H43" s="329"/>
      <c r="I43" s="410"/>
      <c r="J43" s="410"/>
      <c r="K43" s="404"/>
      <c r="L43" s="334"/>
      <c r="M43" s="404"/>
      <c r="N43" s="404"/>
      <c r="O43" s="404"/>
      <c r="P43" s="404"/>
      <c r="Q43" s="406"/>
      <c r="R43" s="406"/>
      <c r="S43" s="405"/>
      <c r="T43" s="155"/>
      <c r="U43" s="155"/>
    </row>
    <row r="44">
      <c r="A44" s="402"/>
      <c r="B44" s="408"/>
      <c r="C44" s="388"/>
      <c r="D44" s="388"/>
      <c r="E44" s="348"/>
      <c r="F44" s="329"/>
      <c r="G44" s="329"/>
      <c r="H44" s="329"/>
      <c r="I44" s="410"/>
      <c r="J44" s="410"/>
      <c r="K44" s="404"/>
      <c r="L44" s="334"/>
      <c r="M44" s="404"/>
      <c r="N44" s="404"/>
      <c r="O44" s="404"/>
      <c r="P44" s="406"/>
      <c r="Q44" s="406"/>
      <c r="R44" s="406"/>
      <c r="S44" s="405"/>
      <c r="T44" s="155"/>
      <c r="U44" s="155"/>
    </row>
    <row r="45">
      <c r="A45" s="402"/>
      <c r="B45" s="408"/>
      <c r="C45" s="388"/>
      <c r="D45" s="388"/>
      <c r="E45" s="348"/>
      <c r="F45" s="329"/>
      <c r="G45" s="329"/>
      <c r="H45" s="329"/>
      <c r="I45" s="406"/>
      <c r="J45" s="406"/>
      <c r="K45" s="404"/>
      <c r="L45" s="334"/>
      <c r="M45" s="404"/>
      <c r="N45" s="404"/>
      <c r="O45" s="404"/>
      <c r="P45" s="406"/>
      <c r="Q45" s="406"/>
      <c r="R45" s="406"/>
      <c r="S45" s="405"/>
      <c r="T45" s="155"/>
      <c r="U45" s="155"/>
    </row>
    <row r="46">
      <c r="A46" s="402"/>
      <c r="B46" s="408"/>
      <c r="C46" s="388"/>
      <c r="D46" s="388"/>
      <c r="E46" s="348"/>
      <c r="F46" s="329"/>
      <c r="G46" s="329"/>
      <c r="H46" s="329"/>
      <c r="I46" s="404"/>
      <c r="J46" s="404"/>
      <c r="K46" s="404"/>
      <c r="L46" s="334"/>
      <c r="M46" s="404"/>
      <c r="N46" s="404"/>
      <c r="O46" s="404"/>
      <c r="P46" s="406"/>
      <c r="Q46" s="406"/>
      <c r="R46" s="406"/>
      <c r="S46" s="405"/>
      <c r="T46" s="155"/>
      <c r="U46" s="155"/>
    </row>
    <row r="47">
      <c r="A47" s="402"/>
      <c r="B47" s="408"/>
      <c r="C47" s="388"/>
      <c r="D47" s="388"/>
      <c r="E47" s="348"/>
      <c r="F47" s="329"/>
      <c r="G47" s="329"/>
      <c r="H47" s="329"/>
      <c r="I47" s="404"/>
      <c r="J47" s="404"/>
      <c r="K47" s="404"/>
      <c r="L47" s="334"/>
      <c r="M47" s="404"/>
      <c r="N47" s="404"/>
      <c r="O47" s="404"/>
      <c r="P47" s="406"/>
      <c r="Q47" s="406"/>
      <c r="R47" s="406"/>
      <c r="S47" s="405"/>
      <c r="T47" s="155"/>
      <c r="U47" s="155"/>
    </row>
    <row r="48">
      <c r="A48" s="402"/>
      <c r="B48" s="408"/>
      <c r="C48" s="388"/>
      <c r="D48" s="388"/>
      <c r="E48" s="348"/>
      <c r="F48" s="329"/>
      <c r="G48" s="329"/>
      <c r="H48" s="329"/>
      <c r="I48" s="404"/>
      <c r="J48" s="404"/>
      <c r="K48" s="404"/>
      <c r="L48" s="334"/>
      <c r="M48" s="404"/>
      <c r="N48" s="404"/>
      <c r="O48" s="404"/>
      <c r="P48" s="406"/>
      <c r="Q48" s="406"/>
      <c r="R48" s="406"/>
      <c r="S48" s="405"/>
      <c r="T48" s="155"/>
      <c r="U48" s="155"/>
    </row>
    <row r="49">
      <c r="A49" s="402"/>
      <c r="B49" s="408"/>
      <c r="C49" s="388"/>
      <c r="D49" s="388"/>
      <c r="E49" s="348"/>
      <c r="F49" s="329"/>
      <c r="G49" s="329"/>
      <c r="H49" s="329"/>
      <c r="I49" s="404"/>
      <c r="J49" s="404"/>
      <c r="K49" s="404"/>
      <c r="L49" s="334"/>
      <c r="M49" s="404"/>
      <c r="N49" s="404"/>
      <c r="O49" s="404"/>
      <c r="P49" s="406"/>
      <c r="Q49" s="406"/>
      <c r="R49" s="406"/>
      <c r="S49" s="405"/>
      <c r="T49" s="155"/>
      <c r="U49" s="155"/>
    </row>
    <row r="50">
      <c r="A50" s="402"/>
      <c r="B50" s="408"/>
      <c r="C50" s="388"/>
      <c r="D50" s="388"/>
      <c r="E50" s="348"/>
      <c r="F50" s="329"/>
      <c r="G50" s="329"/>
      <c r="H50" s="329"/>
      <c r="I50" s="404"/>
      <c r="J50" s="404"/>
      <c r="K50" s="404"/>
      <c r="L50" s="334"/>
      <c r="M50" s="404"/>
      <c r="N50" s="404"/>
      <c r="O50" s="404"/>
      <c r="P50" s="404"/>
      <c r="Q50" s="406"/>
      <c r="R50" s="406"/>
      <c r="S50" s="405"/>
      <c r="T50" s="155"/>
      <c r="U50" s="155"/>
    </row>
    <row r="51">
      <c r="A51" s="402"/>
      <c r="B51" s="408"/>
      <c r="C51" s="388"/>
      <c r="D51" s="388"/>
      <c r="E51" s="348"/>
      <c r="F51" s="329"/>
      <c r="G51" s="329"/>
      <c r="H51" s="329"/>
      <c r="I51" s="406"/>
      <c r="J51" s="406"/>
      <c r="K51" s="404"/>
      <c r="L51" s="334"/>
      <c r="M51" s="404"/>
      <c r="N51" s="404"/>
      <c r="O51" s="404"/>
      <c r="P51" s="404"/>
      <c r="Q51" s="404"/>
      <c r="R51" s="406"/>
      <c r="S51" s="405"/>
      <c r="T51" s="155"/>
      <c r="U51" s="155"/>
    </row>
    <row r="52">
      <c r="A52" s="402"/>
      <c r="B52" s="408"/>
      <c r="C52" s="388"/>
      <c r="D52" s="388"/>
      <c r="E52" s="348"/>
      <c r="F52" s="329"/>
      <c r="G52" s="329"/>
      <c r="H52" s="329"/>
      <c r="I52" s="413"/>
      <c r="J52" s="413"/>
      <c r="K52" s="404"/>
      <c r="L52" s="334"/>
      <c r="M52" s="404"/>
      <c r="N52" s="404"/>
      <c r="O52" s="404"/>
      <c r="P52" s="404"/>
      <c r="Q52" s="404"/>
      <c r="R52" s="406"/>
      <c r="S52" s="405"/>
      <c r="T52" s="155"/>
      <c r="U52" s="155"/>
    </row>
    <row r="53">
      <c r="A53" s="402"/>
      <c r="B53" s="408"/>
      <c r="C53" s="388"/>
      <c r="D53" s="388"/>
      <c r="E53" s="348"/>
      <c r="F53" s="329"/>
      <c r="G53" s="329"/>
      <c r="H53" s="329"/>
      <c r="I53" s="358"/>
      <c r="J53" s="358"/>
      <c r="K53" s="404"/>
      <c r="L53" s="318"/>
      <c r="M53" s="404"/>
      <c r="N53" s="404"/>
      <c r="O53" s="404"/>
      <c r="P53" s="404"/>
      <c r="Q53" s="404"/>
      <c r="R53" s="406"/>
      <c r="S53" s="405"/>
      <c r="T53" s="155"/>
      <c r="U53" s="155"/>
    </row>
    <row r="54">
      <c r="A54" s="402"/>
      <c r="B54" s="388"/>
      <c r="C54" s="388"/>
      <c r="D54" s="388"/>
      <c r="E54" s="348"/>
      <c r="F54" s="329"/>
      <c r="G54" s="329"/>
      <c r="H54" s="329"/>
      <c r="I54" s="404"/>
      <c r="J54" s="404"/>
      <c r="K54" s="404"/>
      <c r="L54" s="334"/>
      <c r="M54" s="404"/>
      <c r="N54" s="404"/>
      <c r="O54" s="404"/>
      <c r="P54" s="406"/>
      <c r="Q54" s="406"/>
      <c r="R54" s="406"/>
      <c r="S54" s="405"/>
      <c r="T54" s="155"/>
      <c r="U54" s="155"/>
    </row>
    <row r="55">
      <c r="A55" s="402"/>
      <c r="B55" s="408"/>
      <c r="C55" s="388"/>
      <c r="D55" s="388"/>
      <c r="E55" s="348"/>
      <c r="F55" s="329"/>
      <c r="G55" s="329"/>
      <c r="H55" s="329"/>
      <c r="I55" s="404"/>
      <c r="J55" s="404"/>
      <c r="K55" s="404"/>
      <c r="L55" s="334"/>
      <c r="M55" s="404"/>
      <c r="N55" s="404"/>
      <c r="O55" s="404"/>
      <c r="P55" s="406"/>
      <c r="Q55" s="406"/>
      <c r="R55" s="406"/>
      <c r="S55" s="405"/>
      <c r="T55" s="155"/>
      <c r="U55" s="155"/>
    </row>
    <row r="56">
      <c r="A56" s="402"/>
      <c r="B56" s="408"/>
      <c r="C56" s="388"/>
      <c r="D56" s="388"/>
      <c r="E56" s="348"/>
      <c r="F56" s="329"/>
      <c r="G56" s="329"/>
      <c r="H56" s="329"/>
      <c r="I56" s="406"/>
      <c r="J56" s="406"/>
      <c r="K56" s="404"/>
      <c r="L56" s="334"/>
      <c r="M56" s="404"/>
      <c r="N56" s="404"/>
      <c r="O56" s="404"/>
      <c r="P56" s="406"/>
      <c r="Q56" s="406"/>
      <c r="R56" s="406"/>
      <c r="S56" s="405"/>
      <c r="T56" s="155"/>
      <c r="U56" s="155"/>
    </row>
    <row r="57">
      <c r="A57" s="402"/>
      <c r="B57" s="408"/>
      <c r="C57" s="388"/>
      <c r="D57" s="388"/>
      <c r="E57" s="348"/>
      <c r="F57" s="329"/>
      <c r="G57" s="329"/>
      <c r="H57" s="329"/>
      <c r="I57" s="406"/>
      <c r="J57" s="406"/>
      <c r="K57" s="404"/>
      <c r="L57" s="334"/>
      <c r="M57" s="404"/>
      <c r="N57" s="404"/>
      <c r="O57" s="404"/>
      <c r="P57" s="406"/>
      <c r="Q57" s="406"/>
      <c r="R57" s="406"/>
      <c r="S57" s="405"/>
      <c r="T57" s="155"/>
      <c r="U57" s="155"/>
    </row>
    <row r="58">
      <c r="A58" s="402"/>
      <c r="B58" s="408"/>
      <c r="C58" s="388"/>
      <c r="D58" s="388"/>
      <c r="E58" s="348"/>
      <c r="F58" s="329"/>
      <c r="G58" s="329"/>
      <c r="H58" s="329"/>
      <c r="I58" s="406"/>
      <c r="J58" s="406"/>
      <c r="K58" s="404"/>
      <c r="L58" s="334"/>
      <c r="M58" s="404"/>
      <c r="N58" s="404"/>
      <c r="O58" s="404"/>
      <c r="P58" s="406"/>
      <c r="Q58" s="406"/>
      <c r="R58" s="406"/>
      <c r="S58" s="405"/>
      <c r="T58" s="155"/>
      <c r="U58" s="155"/>
    </row>
    <row r="59">
      <c r="A59" s="402"/>
      <c r="B59" s="408"/>
      <c r="C59" s="388"/>
      <c r="D59" s="388"/>
      <c r="E59" s="348"/>
      <c r="F59" s="329"/>
      <c r="G59" s="329"/>
      <c r="H59" s="329"/>
      <c r="I59" s="406"/>
      <c r="J59" s="406"/>
      <c r="K59" s="404"/>
      <c r="L59" s="334"/>
      <c r="M59" s="404"/>
      <c r="N59" s="404"/>
      <c r="O59" s="404"/>
      <c r="P59" s="406"/>
      <c r="Q59" s="406"/>
      <c r="R59" s="406"/>
      <c r="S59" s="405"/>
      <c r="T59" s="155"/>
      <c r="U59" s="155"/>
    </row>
    <row r="60">
      <c r="A60" s="402"/>
      <c r="B60" s="408"/>
      <c r="C60" s="388"/>
      <c r="D60" s="388"/>
      <c r="E60" s="348"/>
      <c r="F60" s="329"/>
      <c r="G60" s="329"/>
      <c r="H60" s="329"/>
      <c r="I60" s="404"/>
      <c r="J60" s="404"/>
      <c r="K60" s="404"/>
      <c r="L60" s="334"/>
      <c r="M60" s="404"/>
      <c r="N60" s="404"/>
      <c r="O60" s="404"/>
      <c r="P60" s="406"/>
      <c r="Q60" s="406"/>
      <c r="R60" s="406"/>
      <c r="S60" s="405"/>
      <c r="T60" s="155"/>
      <c r="U60" s="155"/>
    </row>
    <row r="61">
      <c r="A61" s="402"/>
      <c r="B61" s="408"/>
      <c r="C61" s="388"/>
      <c r="D61" s="388"/>
      <c r="E61" s="348"/>
      <c r="F61" s="329"/>
      <c r="G61" s="329"/>
      <c r="H61" s="329"/>
      <c r="I61" s="404"/>
      <c r="J61" s="404"/>
      <c r="K61" s="410"/>
      <c r="L61" s="334"/>
      <c r="M61" s="404"/>
      <c r="N61" s="404"/>
      <c r="O61" s="410"/>
      <c r="P61" s="410"/>
      <c r="Q61" s="411"/>
      <c r="R61" s="411"/>
      <c r="S61" s="412"/>
      <c r="T61" s="155"/>
      <c r="U61" s="155"/>
    </row>
    <row r="62">
      <c r="A62" s="402"/>
      <c r="B62" s="408"/>
      <c r="C62" s="388"/>
      <c r="D62" s="388"/>
      <c r="E62" s="348"/>
      <c r="F62" s="329"/>
      <c r="G62" s="329"/>
      <c r="H62" s="329"/>
      <c r="I62" s="404"/>
      <c r="J62" s="404"/>
      <c r="K62" s="404"/>
      <c r="L62" s="334"/>
      <c r="M62" s="404"/>
      <c r="N62" s="404"/>
      <c r="O62" s="404"/>
      <c r="P62" s="404"/>
      <c r="Q62" s="406"/>
      <c r="R62" s="406"/>
      <c r="S62" s="405"/>
      <c r="T62" s="155"/>
      <c r="U62" s="155"/>
    </row>
    <row r="63">
      <c r="A63" s="402"/>
      <c r="B63" s="408"/>
      <c r="C63" s="388"/>
      <c r="D63" s="388"/>
      <c r="E63" s="348"/>
      <c r="F63" s="329"/>
      <c r="G63" s="329"/>
      <c r="H63" s="329"/>
      <c r="I63" s="411"/>
      <c r="J63" s="411"/>
      <c r="K63" s="404"/>
      <c r="L63" s="334"/>
      <c r="M63" s="404"/>
      <c r="N63" s="404"/>
      <c r="O63" s="404"/>
      <c r="P63" s="406"/>
      <c r="Q63" s="406"/>
      <c r="R63" s="406"/>
      <c r="S63" s="405"/>
      <c r="T63" s="155"/>
      <c r="U63" s="155"/>
    </row>
    <row r="64">
      <c r="A64" s="402"/>
      <c r="B64" s="408"/>
      <c r="C64" s="388"/>
      <c r="D64" s="388"/>
      <c r="E64" s="348"/>
      <c r="F64" s="414"/>
      <c r="G64" s="414"/>
      <c r="H64" s="414"/>
      <c r="I64" s="404"/>
      <c r="J64" s="404"/>
      <c r="K64" s="404"/>
      <c r="L64" s="334"/>
      <c r="M64" s="404"/>
      <c r="N64" s="404"/>
      <c r="O64" s="404"/>
      <c r="P64" s="404"/>
      <c r="Q64" s="404"/>
      <c r="R64" s="406"/>
      <c r="S64" s="405"/>
      <c r="T64" s="155"/>
      <c r="U64" s="155"/>
    </row>
    <row r="65">
      <c r="A65" s="402"/>
      <c r="B65" s="408"/>
      <c r="C65" s="388"/>
      <c r="D65" s="388"/>
      <c r="E65" s="348"/>
      <c r="F65" s="414"/>
      <c r="G65" s="414"/>
      <c r="H65" s="414"/>
      <c r="I65" s="404"/>
      <c r="J65" s="404"/>
      <c r="K65" s="410"/>
      <c r="L65" s="334"/>
      <c r="M65" s="404"/>
      <c r="N65" s="404"/>
      <c r="O65" s="410"/>
      <c r="P65" s="410"/>
      <c r="Q65" s="410"/>
      <c r="R65" s="411"/>
      <c r="S65" s="412"/>
      <c r="T65" s="155"/>
      <c r="U65" s="155"/>
    </row>
    <row r="66">
      <c r="A66" s="402"/>
      <c r="B66" s="387"/>
      <c r="C66" s="388"/>
      <c r="D66" s="388"/>
      <c r="E66" s="348"/>
      <c r="F66" s="414"/>
      <c r="G66" s="414"/>
      <c r="H66" s="414"/>
      <c r="I66" s="404"/>
      <c r="J66" s="404"/>
      <c r="K66" s="404"/>
      <c r="L66" s="334"/>
      <c r="M66" s="404"/>
      <c r="N66" s="404"/>
      <c r="O66" s="404"/>
      <c r="P66" s="406"/>
      <c r="Q66" s="406"/>
      <c r="R66" s="406"/>
      <c r="S66" s="405"/>
      <c r="T66" s="155"/>
      <c r="U66" s="155"/>
    </row>
    <row r="67">
      <c r="A67" s="402"/>
      <c r="B67" s="387"/>
      <c r="C67" s="388"/>
      <c r="D67" s="388"/>
      <c r="E67" s="348"/>
      <c r="F67" s="414"/>
      <c r="G67" s="414"/>
      <c r="H67" s="414"/>
      <c r="I67" s="411"/>
      <c r="J67" s="411"/>
      <c r="K67" s="404"/>
      <c r="L67" s="334"/>
      <c r="M67" s="404"/>
      <c r="N67" s="404"/>
      <c r="O67" s="404"/>
      <c r="P67" s="404"/>
      <c r="Q67" s="404"/>
      <c r="R67" s="406"/>
      <c r="S67" s="405"/>
      <c r="T67" s="155"/>
      <c r="U67" s="155"/>
    </row>
    <row r="68">
      <c r="A68" s="402"/>
      <c r="B68" s="387"/>
      <c r="C68" s="388"/>
      <c r="D68" s="388"/>
      <c r="E68" s="348"/>
      <c r="F68" s="414"/>
      <c r="G68" s="414"/>
      <c r="H68" s="415"/>
      <c r="I68" s="406"/>
      <c r="J68" s="406"/>
      <c r="K68" s="404"/>
      <c r="L68" s="334"/>
      <c r="M68" s="404"/>
      <c r="N68" s="404"/>
      <c r="O68" s="404"/>
      <c r="P68" s="406"/>
      <c r="Q68" s="406"/>
      <c r="R68" s="406"/>
      <c r="S68" s="405"/>
      <c r="T68" s="155"/>
      <c r="U68" s="155"/>
    </row>
    <row r="69">
      <c r="A69" s="402"/>
      <c r="B69" s="387"/>
      <c r="C69" s="388"/>
      <c r="D69" s="388"/>
      <c r="E69" s="348"/>
      <c r="F69" s="414"/>
      <c r="G69" s="414"/>
      <c r="H69" s="414"/>
      <c r="I69" s="404"/>
      <c r="J69" s="404"/>
      <c r="K69" s="404"/>
      <c r="L69" s="334"/>
      <c r="M69" s="404"/>
      <c r="N69" s="404"/>
      <c r="O69" s="404"/>
      <c r="P69" s="404"/>
      <c r="Q69" s="404"/>
      <c r="R69" s="406"/>
      <c r="S69" s="405"/>
      <c r="T69" s="155"/>
      <c r="U69" s="155"/>
    </row>
    <row r="70">
      <c r="A70" s="402"/>
      <c r="B70" s="387"/>
      <c r="C70" s="388"/>
      <c r="D70" s="388"/>
      <c r="E70" s="348"/>
      <c r="F70" s="414"/>
      <c r="G70" s="414"/>
      <c r="H70" s="414"/>
      <c r="I70" s="404"/>
      <c r="J70" s="404"/>
      <c r="K70" s="404"/>
      <c r="L70" s="334"/>
      <c r="M70" s="404"/>
      <c r="N70" s="404"/>
      <c r="O70" s="404"/>
      <c r="P70" s="406"/>
      <c r="Q70" s="406"/>
      <c r="R70" s="406"/>
      <c r="S70" s="405"/>
      <c r="T70" s="155"/>
      <c r="U70" s="155"/>
    </row>
    <row r="71">
      <c r="A71" s="402"/>
      <c r="B71" s="387"/>
      <c r="C71" s="388"/>
      <c r="D71" s="388"/>
      <c r="E71" s="348"/>
      <c r="F71" s="414"/>
      <c r="G71" s="414"/>
      <c r="H71" s="414"/>
      <c r="I71" s="404"/>
      <c r="J71" s="404"/>
      <c r="K71" s="404"/>
      <c r="L71" s="334"/>
      <c r="M71" s="404"/>
      <c r="N71" s="404"/>
      <c r="O71" s="404"/>
      <c r="P71" s="406"/>
      <c r="Q71" s="406"/>
      <c r="R71" s="406"/>
      <c r="S71" s="405"/>
      <c r="T71" s="155"/>
      <c r="U71" s="155"/>
    </row>
    <row r="72">
      <c r="A72" s="402"/>
      <c r="B72" s="387"/>
      <c r="C72" s="388"/>
      <c r="D72" s="388"/>
      <c r="E72" s="348"/>
      <c r="F72" s="414"/>
      <c r="G72" s="414"/>
      <c r="H72" s="414"/>
      <c r="I72" s="406"/>
      <c r="J72" s="406"/>
      <c r="K72" s="404"/>
      <c r="L72" s="334"/>
      <c r="M72" s="404"/>
      <c r="N72" s="404"/>
      <c r="O72" s="404"/>
      <c r="P72" s="406"/>
      <c r="Q72" s="406"/>
      <c r="R72" s="406"/>
      <c r="S72" s="405"/>
      <c r="T72" s="155"/>
      <c r="U72" s="155"/>
    </row>
    <row r="73">
      <c r="A73" s="402"/>
      <c r="B73" s="387"/>
      <c r="C73" s="388"/>
      <c r="D73" s="388"/>
      <c r="E73" s="348"/>
      <c r="F73" s="414"/>
      <c r="G73" s="414"/>
      <c r="H73" s="414"/>
      <c r="I73" s="406"/>
      <c r="J73" s="406"/>
      <c r="K73" s="404"/>
      <c r="L73" s="334"/>
      <c r="M73" s="404"/>
      <c r="N73" s="404"/>
      <c r="O73" s="404"/>
      <c r="P73" s="406"/>
      <c r="Q73" s="406"/>
      <c r="R73" s="406"/>
      <c r="S73" s="405"/>
      <c r="T73" s="155"/>
      <c r="U73" s="155"/>
    </row>
    <row r="74">
      <c r="A74" s="402"/>
      <c r="B74" s="387"/>
      <c r="C74" s="388"/>
      <c r="D74" s="388"/>
      <c r="E74" s="348"/>
      <c r="F74" s="414"/>
      <c r="G74" s="414"/>
      <c r="H74" s="414"/>
      <c r="I74" s="406"/>
      <c r="J74" s="406"/>
      <c r="K74" s="404"/>
      <c r="L74" s="334"/>
      <c r="M74" s="404"/>
      <c r="N74" s="404"/>
      <c r="O74" s="404"/>
      <c r="P74" s="406"/>
      <c r="Q74" s="406"/>
      <c r="R74" s="406"/>
      <c r="S74" s="405"/>
      <c r="T74" s="155"/>
      <c r="U74" s="155"/>
    </row>
    <row r="75">
      <c r="A75" s="402"/>
      <c r="B75" s="387"/>
      <c r="C75" s="388"/>
      <c r="D75" s="388"/>
      <c r="E75" s="348"/>
      <c r="F75" s="414"/>
      <c r="G75" s="414"/>
      <c r="H75" s="414"/>
      <c r="I75" s="406"/>
      <c r="J75" s="406"/>
      <c r="K75" s="404"/>
      <c r="L75" s="334"/>
      <c r="M75" s="404"/>
      <c r="N75" s="404"/>
      <c r="O75" s="404"/>
      <c r="P75" s="404"/>
      <c r="Q75" s="404"/>
      <c r="R75" s="406"/>
      <c r="S75" s="405"/>
      <c r="T75" s="155"/>
      <c r="U75" s="155"/>
    </row>
    <row r="76">
      <c r="A76" s="402"/>
      <c r="B76" s="387"/>
      <c r="C76" s="388"/>
      <c r="D76" s="388"/>
      <c r="E76" s="348"/>
      <c r="F76" s="414"/>
      <c r="G76" s="414"/>
      <c r="H76" s="414"/>
      <c r="I76" s="406"/>
      <c r="J76" s="406"/>
      <c r="K76" s="404"/>
      <c r="L76" s="334"/>
      <c r="M76" s="404"/>
      <c r="N76" s="404"/>
      <c r="O76" s="404"/>
      <c r="P76" s="404"/>
      <c r="Q76" s="404"/>
      <c r="R76" s="406"/>
      <c r="S76" s="405"/>
      <c r="T76" s="155"/>
      <c r="U76" s="155"/>
    </row>
    <row r="77">
      <c r="A77" s="402"/>
      <c r="B77" s="387"/>
      <c r="C77" s="388"/>
      <c r="D77" s="388"/>
      <c r="E77" s="348"/>
      <c r="F77" s="414"/>
      <c r="G77" s="414"/>
      <c r="H77" s="414"/>
      <c r="I77" s="406"/>
      <c r="J77" s="406"/>
      <c r="K77" s="404"/>
      <c r="L77" s="334"/>
      <c r="M77" s="404"/>
      <c r="N77" s="404"/>
      <c r="O77" s="404"/>
      <c r="P77" s="406"/>
      <c r="Q77" s="406"/>
      <c r="R77" s="406"/>
      <c r="S77" s="405"/>
      <c r="T77" s="155"/>
      <c r="U77" s="155"/>
    </row>
    <row r="78">
      <c r="A78" s="402"/>
      <c r="B78" s="387"/>
      <c r="C78" s="388"/>
      <c r="D78" s="388"/>
      <c r="E78" s="348"/>
      <c r="F78" s="329"/>
      <c r="G78" s="329"/>
      <c r="H78" s="329"/>
      <c r="I78" s="406"/>
      <c r="J78" s="406"/>
      <c r="K78" s="410"/>
      <c r="L78" s="334"/>
      <c r="M78" s="404"/>
      <c r="N78" s="404"/>
      <c r="O78" s="410"/>
      <c r="P78" s="411"/>
      <c r="Q78" s="411"/>
      <c r="R78" s="411"/>
      <c r="S78" s="412"/>
      <c r="T78" s="155"/>
      <c r="U78" s="155"/>
    </row>
    <row r="79">
      <c r="A79" s="402"/>
      <c r="B79" s="387"/>
      <c r="C79" s="388"/>
      <c r="D79" s="388"/>
      <c r="E79" s="375"/>
      <c r="F79" s="329"/>
      <c r="G79" s="329"/>
      <c r="H79" s="329"/>
      <c r="I79" s="406"/>
      <c r="J79" s="406"/>
      <c r="K79" s="410"/>
      <c r="L79" s="334"/>
      <c r="M79" s="404"/>
      <c r="N79" s="404"/>
      <c r="O79" s="411"/>
      <c r="P79" s="411"/>
      <c r="Q79" s="411"/>
      <c r="R79" s="411"/>
      <c r="S79" s="412"/>
      <c r="T79" s="155"/>
      <c r="U79" s="155"/>
    </row>
    <row r="80">
      <c r="A80" s="402"/>
      <c r="B80" s="387"/>
      <c r="C80" s="388"/>
      <c r="D80" s="388"/>
      <c r="E80" s="348"/>
      <c r="F80" s="329"/>
      <c r="G80" s="329"/>
      <c r="H80" s="329"/>
      <c r="I80" s="411"/>
      <c r="J80" s="411"/>
      <c r="K80" s="404"/>
      <c r="L80" s="334"/>
      <c r="M80" s="404"/>
      <c r="N80" s="404"/>
      <c r="O80" s="404"/>
      <c r="P80" s="404"/>
      <c r="Q80" s="404"/>
      <c r="R80" s="406"/>
      <c r="S80" s="405"/>
      <c r="T80" s="155"/>
      <c r="U80" s="155"/>
    </row>
    <row r="81">
      <c r="A81" s="402"/>
      <c r="B81" s="387"/>
      <c r="C81" s="388"/>
      <c r="D81" s="388"/>
      <c r="E81" s="348"/>
      <c r="F81" s="329"/>
      <c r="G81" s="329"/>
      <c r="H81" s="329"/>
      <c r="I81" s="411"/>
      <c r="J81" s="411"/>
      <c r="K81" s="410"/>
      <c r="L81" s="334"/>
      <c r="M81" s="404"/>
      <c r="N81" s="404"/>
      <c r="O81" s="410"/>
      <c r="P81" s="411"/>
      <c r="Q81" s="411"/>
      <c r="R81" s="411"/>
      <c r="S81" s="412"/>
      <c r="T81" s="155"/>
      <c r="U81" s="155"/>
    </row>
    <row r="82">
      <c r="A82" s="402"/>
      <c r="B82" s="387"/>
      <c r="C82" s="388"/>
      <c r="D82" s="388"/>
      <c r="E82" s="348"/>
      <c r="F82" s="329"/>
      <c r="G82" s="329"/>
      <c r="H82" s="329"/>
      <c r="I82" s="404"/>
      <c r="J82" s="404"/>
      <c r="K82" s="410"/>
      <c r="L82" s="334"/>
      <c r="M82" s="404"/>
      <c r="N82" s="404"/>
      <c r="O82" s="410"/>
      <c r="P82" s="411"/>
      <c r="Q82" s="411"/>
      <c r="R82" s="411"/>
      <c r="S82" s="412"/>
      <c r="T82" s="155"/>
      <c r="U82" s="155"/>
    </row>
    <row r="83">
      <c r="A83" s="402"/>
      <c r="B83" s="387"/>
      <c r="C83" s="388"/>
      <c r="D83" s="388"/>
      <c r="E83" s="348"/>
      <c r="F83" s="329"/>
      <c r="G83" s="329"/>
      <c r="H83" s="329"/>
      <c r="I83" s="411"/>
      <c r="J83" s="411"/>
      <c r="K83" s="404"/>
      <c r="L83" s="334"/>
      <c r="M83" s="404"/>
      <c r="N83" s="404"/>
      <c r="O83" s="404"/>
      <c r="P83" s="404"/>
      <c r="Q83" s="406"/>
      <c r="R83" s="406"/>
      <c r="S83" s="405"/>
      <c r="T83" s="155"/>
      <c r="U83" s="155"/>
    </row>
    <row r="84">
      <c r="A84" s="402"/>
      <c r="B84" s="387"/>
      <c r="C84" s="388"/>
      <c r="D84" s="388"/>
      <c r="E84" s="348"/>
      <c r="F84" s="329"/>
      <c r="G84" s="329"/>
      <c r="H84" s="329"/>
      <c r="I84" s="411"/>
      <c r="J84" s="411"/>
      <c r="K84" s="404"/>
      <c r="L84" s="334"/>
      <c r="M84" s="404"/>
      <c r="N84" s="404"/>
      <c r="O84" s="404"/>
      <c r="P84" s="404"/>
      <c r="Q84" s="406"/>
      <c r="R84" s="406"/>
      <c r="S84" s="405"/>
      <c r="T84" s="155"/>
      <c r="U84" s="155"/>
    </row>
    <row r="85">
      <c r="A85" s="402"/>
      <c r="B85" s="387"/>
      <c r="C85" s="388"/>
      <c r="D85" s="388"/>
      <c r="E85" s="348"/>
      <c r="F85" s="329"/>
      <c r="G85" s="329"/>
      <c r="H85" s="329"/>
      <c r="I85" s="404"/>
      <c r="J85" s="404"/>
      <c r="K85" s="404"/>
      <c r="L85" s="334"/>
      <c r="M85" s="404"/>
      <c r="N85" s="404"/>
      <c r="O85" s="404"/>
      <c r="P85" s="406"/>
      <c r="Q85" s="406"/>
      <c r="R85" s="406"/>
      <c r="S85" s="405"/>
      <c r="T85" s="155"/>
      <c r="U85" s="155"/>
    </row>
    <row r="86">
      <c r="A86" s="402"/>
      <c r="B86" s="387"/>
      <c r="C86" s="388"/>
      <c r="D86" s="388"/>
      <c r="E86" s="348"/>
      <c r="F86" s="329"/>
      <c r="G86" s="329"/>
      <c r="H86" s="329"/>
      <c r="I86" s="404"/>
      <c r="J86" s="404"/>
      <c r="K86" s="404"/>
      <c r="L86" s="334"/>
      <c r="M86" s="404"/>
      <c r="N86" s="404"/>
      <c r="O86" s="404"/>
      <c r="P86" s="404"/>
      <c r="Q86" s="406"/>
      <c r="R86" s="406"/>
      <c r="S86" s="405"/>
      <c r="T86" s="155"/>
      <c r="U86" s="155"/>
    </row>
    <row r="87">
      <c r="A87" s="402"/>
      <c r="B87" s="387"/>
      <c r="C87" s="388"/>
      <c r="D87" s="388"/>
      <c r="E87" s="348"/>
      <c r="F87" s="329"/>
      <c r="G87" s="329"/>
      <c r="H87" s="329"/>
      <c r="I87" s="404"/>
      <c r="J87" s="404"/>
      <c r="K87" s="404"/>
      <c r="L87" s="334"/>
      <c r="M87" s="404"/>
      <c r="N87" s="404"/>
      <c r="O87" s="404"/>
      <c r="P87" s="406"/>
      <c r="Q87" s="406"/>
      <c r="R87" s="406"/>
      <c r="S87" s="405"/>
      <c r="T87" s="155"/>
      <c r="U87" s="155"/>
    </row>
    <row r="88">
      <c r="A88" s="402"/>
      <c r="B88" s="387"/>
      <c r="C88" s="388"/>
      <c r="D88" s="388"/>
      <c r="E88" s="348"/>
      <c r="F88" s="329"/>
      <c r="G88" s="329"/>
      <c r="H88" s="329"/>
      <c r="I88" s="404"/>
      <c r="J88" s="404"/>
      <c r="K88" s="404"/>
      <c r="L88" s="334"/>
      <c r="M88" s="404"/>
      <c r="N88" s="404"/>
      <c r="O88" s="404"/>
      <c r="P88" s="406"/>
      <c r="Q88" s="406"/>
      <c r="R88" s="406"/>
      <c r="S88" s="405"/>
      <c r="T88" s="155"/>
      <c r="U88" s="155"/>
    </row>
    <row r="89">
      <c r="A89" s="402"/>
      <c r="B89" s="387"/>
      <c r="C89" s="388"/>
      <c r="D89" s="388"/>
      <c r="E89" s="348"/>
      <c r="F89" s="329"/>
      <c r="G89" s="329"/>
      <c r="H89" s="329"/>
      <c r="I89" s="404"/>
      <c r="J89" s="404"/>
      <c r="K89" s="404"/>
      <c r="L89" s="334"/>
      <c r="M89" s="404"/>
      <c r="N89" s="404"/>
      <c r="O89" s="404"/>
      <c r="P89" s="406"/>
      <c r="Q89" s="406"/>
      <c r="R89" s="406"/>
      <c r="S89" s="405"/>
      <c r="T89" s="155"/>
      <c r="U89" s="155"/>
    </row>
    <row r="90">
      <c r="A90" s="402"/>
      <c r="B90" s="387"/>
      <c r="C90" s="388"/>
      <c r="D90" s="388"/>
      <c r="E90" s="348"/>
      <c r="F90" s="329"/>
      <c r="G90" s="329"/>
      <c r="H90" s="329"/>
      <c r="I90" s="404"/>
      <c r="J90" s="404"/>
      <c r="K90" s="404"/>
      <c r="L90" s="334"/>
      <c r="M90" s="404"/>
      <c r="N90" s="404"/>
      <c r="O90" s="404"/>
      <c r="P90" s="404"/>
      <c r="Q90" s="406"/>
      <c r="R90" s="406"/>
      <c r="S90" s="405"/>
      <c r="T90" s="155"/>
      <c r="U90" s="155"/>
    </row>
    <row r="91">
      <c r="A91" s="402"/>
      <c r="B91" s="387"/>
      <c r="C91" s="388"/>
      <c r="D91" s="388"/>
      <c r="E91" s="348"/>
      <c r="F91" s="329"/>
      <c r="G91" s="329"/>
      <c r="H91" s="329"/>
      <c r="I91" s="404"/>
      <c r="J91" s="404"/>
      <c r="K91" s="404"/>
      <c r="L91" s="334"/>
      <c r="M91" s="404"/>
      <c r="N91" s="404"/>
      <c r="O91" s="404"/>
      <c r="P91" s="404"/>
      <c r="Q91" s="406"/>
      <c r="R91" s="406"/>
      <c r="S91" s="405"/>
      <c r="T91" s="155"/>
      <c r="U91" s="155"/>
    </row>
    <row r="92">
      <c r="A92" s="402"/>
      <c r="B92" s="380"/>
      <c r="C92" s="380"/>
      <c r="D92" s="381"/>
      <c r="E92" s="348"/>
      <c r="F92" s="329"/>
      <c r="G92" s="329"/>
      <c r="H92" s="329"/>
      <c r="I92" s="404"/>
      <c r="J92" s="404"/>
      <c r="K92" s="334"/>
      <c r="L92" s="334"/>
      <c r="M92" s="404"/>
      <c r="N92" s="404"/>
      <c r="O92" s="318"/>
      <c r="P92" s="318"/>
      <c r="Q92" s="334"/>
      <c r="R92" s="334"/>
      <c r="S92" s="334"/>
      <c r="T92" s="155"/>
      <c r="U92" s="155"/>
    </row>
    <row r="93">
      <c r="A93" s="402"/>
      <c r="B93" s="387"/>
      <c r="C93" s="388"/>
      <c r="D93" s="388"/>
      <c r="E93" s="348"/>
      <c r="F93" s="329"/>
      <c r="G93" s="329"/>
      <c r="H93" s="329"/>
      <c r="I93" s="404"/>
      <c r="J93" s="404"/>
      <c r="K93" s="404"/>
      <c r="L93" s="334"/>
      <c r="M93" s="404"/>
      <c r="N93" s="404"/>
      <c r="O93" s="404"/>
      <c r="P93" s="404"/>
      <c r="Q93" s="406"/>
      <c r="R93" s="406"/>
      <c r="S93" s="405"/>
      <c r="T93" s="155"/>
      <c r="U93" s="155"/>
    </row>
    <row r="94">
      <c r="A94" s="402"/>
      <c r="B94" s="387"/>
      <c r="C94" s="388"/>
      <c r="D94" s="388"/>
      <c r="E94" s="348"/>
      <c r="F94" s="329"/>
      <c r="G94" s="329"/>
      <c r="H94" s="329"/>
      <c r="I94" s="334"/>
      <c r="J94" s="334"/>
      <c r="K94" s="404"/>
      <c r="L94" s="334"/>
      <c r="M94" s="404"/>
      <c r="N94" s="404"/>
      <c r="O94" s="404"/>
      <c r="P94" s="404"/>
      <c r="Q94" s="404"/>
      <c r="R94" s="406"/>
      <c r="S94" s="405"/>
      <c r="T94" s="155"/>
      <c r="U94" s="155"/>
    </row>
    <row r="95">
      <c r="A95" s="402"/>
      <c r="B95" s="385"/>
      <c r="C95" s="385"/>
      <c r="D95" s="385"/>
      <c r="E95" s="375"/>
      <c r="F95" s="416"/>
      <c r="G95" s="333"/>
      <c r="H95" s="333"/>
      <c r="I95" s="404"/>
      <c r="J95" s="404"/>
      <c r="K95" s="334"/>
      <c r="L95" s="334"/>
      <c r="M95" s="334"/>
      <c r="N95" s="334"/>
      <c r="O95" s="334"/>
      <c r="P95" s="334"/>
      <c r="Q95" s="334"/>
      <c r="R95" s="334"/>
      <c r="S95" s="334"/>
      <c r="T95" s="155"/>
      <c r="U95" s="155"/>
    </row>
    <row r="96">
      <c r="A96" s="402"/>
      <c r="B96" s="380"/>
      <c r="C96" s="385"/>
      <c r="D96" s="381"/>
      <c r="E96" s="348"/>
      <c r="F96" s="414"/>
      <c r="G96" s="414"/>
      <c r="H96" s="414"/>
      <c r="I96" s="404"/>
      <c r="J96" s="404"/>
      <c r="K96" s="334"/>
      <c r="L96" s="334"/>
      <c r="M96" s="334"/>
      <c r="N96" s="334"/>
      <c r="O96" s="318"/>
      <c r="P96" s="334"/>
      <c r="Q96" s="334"/>
      <c r="R96" s="334"/>
      <c r="S96" s="334"/>
      <c r="T96" s="155"/>
      <c r="U96" s="155"/>
    </row>
    <row r="97">
      <c r="A97" s="402"/>
      <c r="B97" s="380"/>
      <c r="C97" s="385"/>
      <c r="D97" s="381"/>
      <c r="E97" s="348"/>
      <c r="F97" s="415"/>
      <c r="G97" s="414"/>
      <c r="H97" s="414"/>
      <c r="I97" s="334"/>
      <c r="J97" s="334"/>
      <c r="K97" s="334"/>
      <c r="L97" s="334"/>
      <c r="M97" s="334"/>
      <c r="N97" s="334"/>
      <c r="O97" s="318"/>
      <c r="P97" s="334"/>
      <c r="Q97" s="334"/>
      <c r="R97" s="334"/>
      <c r="S97" s="334"/>
      <c r="T97" s="155"/>
      <c r="U97" s="155"/>
    </row>
    <row r="98">
      <c r="A98" s="402"/>
      <c r="B98" s="380"/>
      <c r="C98" s="385"/>
      <c r="D98" s="381"/>
      <c r="E98" s="348"/>
      <c r="F98" s="414"/>
      <c r="G98" s="414"/>
      <c r="H98" s="414"/>
      <c r="I98" s="334"/>
      <c r="J98" s="334"/>
      <c r="K98" s="334"/>
      <c r="L98" s="334"/>
      <c r="M98" s="334"/>
      <c r="N98" s="334"/>
      <c r="O98" s="318"/>
      <c r="P98" s="334"/>
      <c r="Q98" s="334"/>
      <c r="R98" s="334"/>
      <c r="S98" s="334"/>
      <c r="T98" s="155"/>
      <c r="U98" s="155"/>
    </row>
    <row r="99">
      <c r="A99" s="402"/>
      <c r="B99" s="380"/>
      <c r="C99" s="385"/>
      <c r="D99" s="381"/>
      <c r="E99" s="348"/>
      <c r="F99" s="414"/>
      <c r="G99" s="414"/>
      <c r="H99" s="414"/>
      <c r="I99" s="334"/>
      <c r="J99" s="334"/>
      <c r="K99" s="334"/>
      <c r="L99" s="334"/>
      <c r="M99" s="334"/>
      <c r="N99" s="334"/>
      <c r="O99" s="318"/>
      <c r="P99" s="334"/>
      <c r="Q99" s="334"/>
      <c r="R99" s="334"/>
      <c r="S99" s="334"/>
      <c r="T99" s="155"/>
      <c r="U99" s="155"/>
    </row>
    <row r="100">
      <c r="A100" s="402"/>
      <c r="B100" s="380"/>
      <c r="C100" s="385"/>
      <c r="D100" s="381"/>
      <c r="E100" s="348"/>
      <c r="F100" s="414"/>
      <c r="G100" s="414"/>
      <c r="H100" s="414"/>
      <c r="I100" s="318"/>
      <c r="J100" s="318"/>
      <c r="K100" s="334"/>
      <c r="L100" s="318"/>
      <c r="M100" s="334"/>
      <c r="N100" s="334"/>
      <c r="O100" s="334"/>
      <c r="P100" s="334"/>
      <c r="Q100" s="334"/>
      <c r="R100" s="334"/>
      <c r="S100" s="334"/>
      <c r="T100" s="155"/>
      <c r="U100" s="155"/>
    </row>
    <row r="101">
      <c r="A101" s="402"/>
      <c r="B101" s="385"/>
      <c r="C101" s="385"/>
      <c r="D101" s="385"/>
      <c r="E101" s="375"/>
      <c r="F101" s="414"/>
      <c r="G101" s="414"/>
      <c r="H101" s="414"/>
      <c r="I101" s="318"/>
      <c r="J101" s="318"/>
      <c r="K101" s="334"/>
      <c r="L101" s="334"/>
      <c r="M101" s="334"/>
      <c r="N101" s="334"/>
      <c r="O101" s="334"/>
      <c r="P101" s="334"/>
      <c r="Q101" s="334"/>
      <c r="R101" s="334"/>
      <c r="S101" s="334"/>
      <c r="T101" s="155"/>
      <c r="U101" s="155"/>
    </row>
    <row r="102">
      <c r="A102" s="402"/>
      <c r="B102" s="387"/>
      <c r="C102" s="388"/>
      <c r="D102" s="388"/>
      <c r="E102" s="348"/>
      <c r="F102" s="414"/>
      <c r="G102" s="414"/>
      <c r="H102" s="414"/>
      <c r="I102" s="318"/>
      <c r="J102" s="318"/>
      <c r="K102" s="334"/>
      <c r="L102" s="334"/>
      <c r="M102" s="334"/>
      <c r="N102" s="334"/>
      <c r="O102" s="318"/>
      <c r="P102" s="334"/>
      <c r="Q102" s="334"/>
      <c r="R102" s="334"/>
      <c r="S102" s="334"/>
      <c r="T102" s="155"/>
      <c r="U102" s="155"/>
    </row>
    <row r="103">
      <c r="A103" s="402"/>
      <c r="B103" s="387"/>
      <c r="C103" s="388"/>
      <c r="D103" s="388"/>
      <c r="E103" s="348"/>
      <c r="F103" s="414"/>
      <c r="G103" s="414"/>
      <c r="H103" s="414"/>
      <c r="I103" s="334"/>
      <c r="J103" s="334"/>
      <c r="K103" s="334"/>
      <c r="L103" s="334"/>
      <c r="M103" s="334"/>
      <c r="N103" s="334"/>
      <c r="O103" s="318"/>
      <c r="P103" s="334"/>
      <c r="Q103" s="334"/>
      <c r="R103" s="334"/>
      <c r="S103" s="334"/>
      <c r="T103" s="155"/>
      <c r="U103" s="155"/>
    </row>
    <row r="104">
      <c r="A104" s="402"/>
      <c r="B104" s="387"/>
      <c r="C104" s="388"/>
      <c r="D104" s="388"/>
      <c r="E104" s="348"/>
      <c r="F104" s="414"/>
      <c r="G104" s="414"/>
      <c r="H104" s="414"/>
      <c r="I104" s="334"/>
      <c r="J104" s="334"/>
      <c r="K104" s="334"/>
      <c r="L104" s="334"/>
      <c r="M104" s="334"/>
      <c r="N104" s="334"/>
      <c r="O104" s="318"/>
      <c r="P104" s="334"/>
      <c r="Q104" s="334"/>
      <c r="R104" s="334"/>
      <c r="S104" s="334"/>
      <c r="T104" s="155"/>
      <c r="U104" s="155"/>
    </row>
    <row r="105">
      <c r="A105" s="402"/>
      <c r="B105" s="387"/>
      <c r="C105" s="388"/>
      <c r="D105" s="388"/>
      <c r="E105" s="348"/>
      <c r="F105" s="414"/>
      <c r="G105" s="414"/>
      <c r="H105" s="414"/>
      <c r="I105" s="334"/>
      <c r="J105" s="334"/>
      <c r="K105" s="334"/>
      <c r="L105" s="334"/>
      <c r="M105" s="334"/>
      <c r="N105" s="334"/>
      <c r="O105" s="334"/>
      <c r="P105" s="334"/>
      <c r="Q105" s="334"/>
      <c r="R105" s="334"/>
      <c r="S105" s="334"/>
      <c r="T105" s="155"/>
      <c r="U105" s="155"/>
    </row>
    <row r="106">
      <c r="A106" s="417"/>
      <c r="B106" s="390"/>
      <c r="C106" s="391"/>
      <c r="D106" s="391"/>
      <c r="E106" s="392"/>
      <c r="F106" s="418"/>
      <c r="G106" s="418"/>
      <c r="H106" s="418"/>
      <c r="I106" s="394"/>
      <c r="J106" s="394"/>
      <c r="K106" s="394"/>
      <c r="L106" s="394"/>
      <c r="M106" s="394"/>
      <c r="N106" s="394"/>
      <c r="O106" s="394"/>
      <c r="P106" s="394"/>
      <c r="Q106" s="394"/>
      <c r="R106" s="394"/>
      <c r="S106" s="394"/>
      <c r="T106" s="155"/>
      <c r="U106" s="155"/>
    </row>
    <row r="107">
      <c r="B107" s="396"/>
      <c r="C107" s="396"/>
      <c r="D107" s="396"/>
      <c r="E107" s="397"/>
      <c r="F107" s="3"/>
      <c r="G107" s="3"/>
      <c r="H107" s="3"/>
    </row>
    <row r="108">
      <c r="B108" s="396"/>
      <c r="C108" s="396"/>
      <c r="D108" s="396"/>
      <c r="E108" s="397"/>
      <c r="F108" s="3"/>
      <c r="G108" s="3"/>
      <c r="H108" s="3"/>
      <c r="R108" s="118"/>
    </row>
    <row r="109">
      <c r="B109" s="396"/>
      <c r="C109" s="396"/>
      <c r="D109" s="396"/>
      <c r="E109" s="397"/>
      <c r="F109" s="3"/>
      <c r="G109" s="3"/>
      <c r="H109" s="3"/>
      <c r="R109" s="118"/>
    </row>
    <row r="110">
      <c r="B110" s="396"/>
      <c r="C110" s="396"/>
      <c r="D110" s="396"/>
      <c r="E110" s="397"/>
      <c r="F110" s="3"/>
      <c r="G110" s="3"/>
      <c r="H110" s="3"/>
    </row>
    <row r="111">
      <c r="B111" s="396"/>
      <c r="C111" s="396"/>
      <c r="D111" s="396"/>
      <c r="E111" s="397"/>
      <c r="F111" s="3"/>
      <c r="G111" s="3"/>
      <c r="H111" s="3"/>
    </row>
    <row r="112">
      <c r="B112" s="396"/>
      <c r="C112" s="396"/>
      <c r="D112" s="396"/>
      <c r="E112" s="397"/>
      <c r="F112" s="3"/>
      <c r="G112" s="3"/>
      <c r="H112" s="3"/>
    </row>
    <row r="113">
      <c r="B113" s="396"/>
      <c r="C113" s="396"/>
      <c r="D113" s="396"/>
      <c r="E113" s="397"/>
      <c r="F113" s="3"/>
      <c r="G113" s="3"/>
      <c r="H113" s="3"/>
    </row>
    <row r="114">
      <c r="B114" s="396"/>
      <c r="C114" s="396"/>
      <c r="D114" s="396"/>
      <c r="E114" s="400"/>
      <c r="F114" s="3"/>
      <c r="G114" s="3"/>
      <c r="H114" s="3"/>
    </row>
    <row r="115">
      <c r="B115" s="396"/>
      <c r="C115" s="396"/>
      <c r="D115" s="396"/>
      <c r="E115" s="401"/>
      <c r="F115" s="3"/>
      <c r="G115" s="3"/>
      <c r="H115" s="3"/>
    </row>
    <row r="116">
      <c r="B116" s="396"/>
      <c r="C116" s="396"/>
      <c r="D116" s="396"/>
      <c r="E116" s="397"/>
      <c r="F116" s="3"/>
      <c r="G116" s="3"/>
      <c r="H116" s="3"/>
    </row>
    <row r="117">
      <c r="B117" s="396"/>
      <c r="C117" s="396"/>
      <c r="D117" s="396"/>
      <c r="E117" s="397"/>
      <c r="F117" s="118"/>
      <c r="G117" s="118"/>
      <c r="H117" s="118"/>
    </row>
    <row r="118">
      <c r="B118" s="396"/>
      <c r="C118" s="396"/>
      <c r="D118" s="396"/>
      <c r="E118" s="397"/>
      <c r="F118" s="3"/>
      <c r="G118" s="3"/>
      <c r="H118" s="3"/>
    </row>
    <row r="119">
      <c r="B119" s="396"/>
      <c r="C119" s="396"/>
      <c r="D119" s="396"/>
      <c r="E119" s="397"/>
      <c r="F119" s="3"/>
      <c r="G119" s="3"/>
      <c r="H119" s="3"/>
    </row>
    <row r="120">
      <c r="B120" s="396"/>
      <c r="C120" s="396"/>
      <c r="D120" s="396"/>
      <c r="E120" s="397"/>
      <c r="F120" s="3"/>
      <c r="G120" s="3"/>
      <c r="H120" s="3"/>
    </row>
    <row r="121">
      <c r="B121" s="396"/>
      <c r="C121" s="396"/>
      <c r="D121" s="396"/>
      <c r="E121" s="397"/>
      <c r="F121" s="3"/>
      <c r="G121" s="3"/>
      <c r="H121" s="3"/>
    </row>
    <row r="122">
      <c r="B122" s="396"/>
      <c r="C122" s="396"/>
      <c r="D122" s="396"/>
      <c r="E122" s="397"/>
      <c r="F122" s="3"/>
      <c r="G122" s="3"/>
      <c r="H122" s="3"/>
    </row>
    <row r="123">
      <c r="B123" s="396"/>
      <c r="C123" s="396"/>
      <c r="D123" s="396"/>
      <c r="E123" s="397"/>
      <c r="F123" s="3"/>
      <c r="G123" s="3"/>
      <c r="H123" s="3"/>
    </row>
    <row r="124">
      <c r="B124" s="396"/>
      <c r="C124" s="396"/>
      <c r="D124" s="396"/>
      <c r="E124" s="397"/>
      <c r="F124" s="3"/>
      <c r="G124" s="3"/>
      <c r="H124" s="3"/>
    </row>
    <row r="125">
      <c r="B125" s="396"/>
      <c r="C125" s="396"/>
      <c r="D125" s="396"/>
      <c r="E125" s="397"/>
      <c r="F125" s="3"/>
      <c r="G125" s="3"/>
      <c r="H125" s="3"/>
    </row>
    <row r="126">
      <c r="B126" s="396"/>
      <c r="C126" s="396"/>
      <c r="D126" s="396"/>
      <c r="E126" s="397"/>
      <c r="F126" s="3"/>
      <c r="G126" s="3"/>
      <c r="H126" s="3"/>
    </row>
    <row r="127">
      <c r="B127" s="396"/>
      <c r="C127" s="396"/>
      <c r="D127" s="396"/>
      <c r="E127" s="397"/>
      <c r="F127" s="3"/>
      <c r="G127" s="3"/>
      <c r="H127" s="3"/>
    </row>
    <row r="128">
      <c r="B128" s="396"/>
      <c r="C128" s="396"/>
      <c r="D128" s="396"/>
      <c r="E128" s="397"/>
      <c r="F128" s="3"/>
      <c r="G128" s="3"/>
      <c r="H128" s="3"/>
    </row>
    <row r="129">
      <c r="B129" s="396"/>
      <c r="C129" s="396"/>
      <c r="D129" s="396"/>
      <c r="E129" s="397"/>
      <c r="F129" s="3"/>
      <c r="G129" s="3"/>
      <c r="H129" s="3"/>
    </row>
    <row r="130">
      <c r="B130" s="396"/>
      <c r="C130" s="396"/>
      <c r="D130" s="396"/>
      <c r="E130" s="397"/>
      <c r="F130" s="3"/>
      <c r="G130" s="3"/>
      <c r="H130" s="3"/>
    </row>
    <row r="131">
      <c r="B131" s="396"/>
      <c r="C131" s="396"/>
      <c r="D131" s="396"/>
      <c r="E131" s="397"/>
      <c r="F131" s="3"/>
      <c r="G131" s="3"/>
      <c r="H131" s="3"/>
    </row>
    <row r="132">
      <c r="B132" s="396"/>
      <c r="C132" s="396"/>
      <c r="D132" s="396"/>
      <c r="E132" s="397"/>
      <c r="F132" s="3"/>
      <c r="G132" s="3"/>
      <c r="H132" s="3"/>
    </row>
    <row r="133">
      <c r="B133" s="396"/>
      <c r="C133" s="396"/>
      <c r="D133" s="396"/>
      <c r="E133" s="397"/>
      <c r="F133" s="3"/>
      <c r="G133" s="3"/>
      <c r="H133" s="3"/>
    </row>
    <row r="134">
      <c r="B134" s="396"/>
      <c r="C134" s="396"/>
      <c r="D134" s="396"/>
      <c r="E134" s="397"/>
      <c r="F134" s="3"/>
      <c r="G134" s="3"/>
      <c r="H134" s="3"/>
    </row>
    <row r="135">
      <c r="B135" s="396"/>
      <c r="C135" s="396"/>
      <c r="D135" s="396"/>
      <c r="E135" s="397"/>
      <c r="F135" s="3"/>
      <c r="G135" s="3"/>
      <c r="H135" s="3"/>
    </row>
    <row r="136">
      <c r="B136" s="396"/>
      <c r="C136" s="396"/>
      <c r="D136" s="396"/>
      <c r="E136" s="397"/>
      <c r="F136" s="3"/>
      <c r="G136" s="3"/>
      <c r="H136" s="3"/>
    </row>
    <row r="137">
      <c r="B137" s="396"/>
      <c r="C137" s="396"/>
      <c r="D137" s="396"/>
      <c r="E137" s="397"/>
      <c r="F137" s="3"/>
      <c r="G137" s="3"/>
      <c r="H137" s="3"/>
    </row>
    <row r="138">
      <c r="B138" s="396"/>
      <c r="C138" s="396"/>
      <c r="D138" s="396"/>
      <c r="E138" s="397"/>
      <c r="F138" s="3"/>
      <c r="G138" s="3"/>
      <c r="H138" s="3"/>
    </row>
    <row r="139">
      <c r="B139" s="396"/>
      <c r="C139" s="396"/>
      <c r="D139" s="396"/>
      <c r="E139" s="397"/>
      <c r="F139" s="3"/>
      <c r="G139" s="3"/>
      <c r="H139" s="3"/>
    </row>
    <row r="140">
      <c r="B140" s="396"/>
      <c r="C140" s="396"/>
      <c r="D140" s="396"/>
      <c r="E140" s="397"/>
      <c r="F140" s="3"/>
      <c r="G140" s="3"/>
      <c r="H140" s="3"/>
    </row>
    <row r="141">
      <c r="B141" s="396"/>
      <c r="C141" s="396"/>
      <c r="D141" s="396"/>
      <c r="E141" s="397"/>
      <c r="F141" s="3"/>
      <c r="G141" s="3"/>
      <c r="H141" s="3"/>
    </row>
    <row r="142">
      <c r="B142" s="396"/>
      <c r="C142" s="396"/>
      <c r="D142" s="396"/>
      <c r="E142" s="397"/>
      <c r="F142" s="3"/>
      <c r="G142" s="3"/>
      <c r="H142" s="3"/>
    </row>
    <row r="143">
      <c r="B143" s="396"/>
      <c r="C143" s="396"/>
      <c r="D143" s="396"/>
      <c r="E143" s="397"/>
      <c r="F143" s="3"/>
      <c r="G143" s="3"/>
      <c r="H143" s="3"/>
    </row>
    <row r="144">
      <c r="B144" s="396"/>
      <c r="C144" s="396"/>
      <c r="D144" s="396"/>
      <c r="E144" s="397"/>
      <c r="F144" s="3"/>
      <c r="G144" s="3"/>
      <c r="H144" s="3"/>
    </row>
    <row r="145">
      <c r="B145" s="396"/>
      <c r="C145" s="396"/>
      <c r="D145" s="396"/>
      <c r="E145" s="397"/>
      <c r="F145" s="3"/>
      <c r="G145" s="3"/>
      <c r="H145" s="3"/>
    </row>
    <row r="146">
      <c r="B146" s="396"/>
      <c r="C146" s="396"/>
      <c r="D146" s="396"/>
      <c r="E146" s="397"/>
      <c r="F146" s="3"/>
      <c r="G146" s="3"/>
      <c r="H146" s="3"/>
    </row>
    <row r="147">
      <c r="B147" s="396"/>
      <c r="C147" s="396"/>
      <c r="D147" s="396"/>
      <c r="E147" s="397"/>
      <c r="F147" s="3"/>
      <c r="G147" s="3"/>
      <c r="H147" s="3"/>
    </row>
    <row r="148">
      <c r="B148" s="396"/>
      <c r="C148" s="396"/>
      <c r="D148" s="396"/>
      <c r="E148" s="397"/>
      <c r="F148" s="3"/>
      <c r="G148" s="3"/>
      <c r="H148" s="3"/>
    </row>
    <row r="149">
      <c r="B149" s="396"/>
      <c r="C149" s="396"/>
      <c r="D149" s="396"/>
      <c r="E149" s="397"/>
      <c r="F149" s="3"/>
      <c r="G149" s="3"/>
      <c r="H149" s="3"/>
    </row>
    <row r="150">
      <c r="B150" s="396"/>
      <c r="C150" s="396"/>
      <c r="D150" s="396"/>
      <c r="E150" s="397"/>
      <c r="F150" s="3"/>
      <c r="G150" s="3"/>
      <c r="H150" s="3"/>
    </row>
    <row r="151">
      <c r="B151" s="396"/>
      <c r="C151" s="396"/>
      <c r="D151" s="396"/>
      <c r="E151" s="397"/>
      <c r="F151" s="3"/>
      <c r="G151" s="3"/>
      <c r="H151" s="3"/>
    </row>
    <row r="152">
      <c r="B152" s="396"/>
      <c r="C152" s="396"/>
      <c r="D152" s="396"/>
      <c r="E152" s="397"/>
      <c r="F152" s="3"/>
      <c r="G152" s="3"/>
      <c r="H152" s="3"/>
    </row>
    <row r="153">
      <c r="B153" s="396"/>
      <c r="C153" s="396"/>
      <c r="D153" s="396"/>
      <c r="E153" s="397"/>
      <c r="F153" s="3"/>
      <c r="G153" s="3"/>
      <c r="H153" s="3"/>
    </row>
    <row r="154">
      <c r="B154" s="396"/>
      <c r="C154" s="396"/>
      <c r="D154" s="396"/>
      <c r="E154" s="397"/>
      <c r="F154" s="3"/>
      <c r="G154" s="3"/>
      <c r="H154" s="3"/>
    </row>
    <row r="155">
      <c r="B155" s="396"/>
      <c r="C155" s="396"/>
      <c r="D155" s="396"/>
      <c r="E155" s="397"/>
      <c r="F155" s="3"/>
      <c r="G155" s="3"/>
      <c r="H155" s="3"/>
    </row>
    <row r="156">
      <c r="B156" s="396"/>
      <c r="C156" s="396"/>
      <c r="D156" s="396"/>
      <c r="E156" s="397"/>
      <c r="F156" s="3"/>
      <c r="G156" s="3"/>
      <c r="H156" s="3"/>
    </row>
    <row r="157">
      <c r="B157" s="396"/>
      <c r="C157" s="396"/>
      <c r="D157" s="396"/>
      <c r="E157" s="397"/>
      <c r="F157" s="3"/>
      <c r="G157" s="3"/>
      <c r="H157" s="3"/>
    </row>
    <row r="158">
      <c r="B158" s="396"/>
      <c r="C158" s="396"/>
      <c r="D158" s="396"/>
      <c r="E158" s="397"/>
      <c r="F158" s="3"/>
      <c r="G158" s="3"/>
      <c r="H158" s="3"/>
    </row>
    <row r="159">
      <c r="B159" s="396"/>
      <c r="C159" s="396"/>
      <c r="D159" s="396"/>
      <c r="E159" s="397"/>
      <c r="F159" s="3"/>
      <c r="G159" s="3"/>
      <c r="H159" s="3"/>
    </row>
    <row r="160">
      <c r="B160" s="396"/>
      <c r="C160" s="396"/>
      <c r="D160" s="396"/>
      <c r="E160" s="397"/>
      <c r="F160" s="3"/>
      <c r="G160" s="3"/>
      <c r="H160" s="3"/>
    </row>
    <row r="161">
      <c r="B161" s="396"/>
      <c r="C161" s="396"/>
      <c r="D161" s="396"/>
      <c r="E161" s="397"/>
      <c r="F161" s="3"/>
      <c r="G161" s="3"/>
      <c r="H161" s="3"/>
    </row>
    <row r="162">
      <c r="B162" s="396"/>
      <c r="C162" s="396"/>
      <c r="D162" s="396"/>
      <c r="E162" s="397"/>
      <c r="F162" s="3"/>
      <c r="G162" s="3"/>
      <c r="H162" s="3"/>
    </row>
    <row r="163">
      <c r="B163" s="396"/>
      <c r="C163" s="396"/>
      <c r="D163" s="396"/>
      <c r="E163" s="397"/>
      <c r="F163" s="3"/>
      <c r="G163" s="3"/>
      <c r="H163" s="3"/>
    </row>
    <row r="164">
      <c r="B164" s="396"/>
      <c r="C164" s="396"/>
      <c r="D164" s="396"/>
      <c r="E164" s="397"/>
      <c r="F164" s="3"/>
      <c r="G164" s="3"/>
      <c r="H164" s="3"/>
    </row>
    <row r="165">
      <c r="B165" s="396"/>
      <c r="C165" s="396"/>
      <c r="D165" s="396"/>
      <c r="E165" s="397"/>
      <c r="F165" s="3"/>
      <c r="G165" s="3"/>
      <c r="H165" s="3"/>
    </row>
    <row r="166">
      <c r="B166" s="396"/>
      <c r="C166" s="396"/>
      <c r="D166" s="396"/>
      <c r="E166" s="397"/>
      <c r="F166" s="3"/>
      <c r="G166" s="3"/>
      <c r="H166" s="3"/>
    </row>
    <row r="167">
      <c r="B167" s="396"/>
      <c r="C167" s="396"/>
      <c r="D167" s="396"/>
      <c r="E167" s="397"/>
      <c r="F167" s="3"/>
      <c r="G167" s="3"/>
      <c r="H167" s="3"/>
    </row>
    <row r="168">
      <c r="B168" s="396"/>
      <c r="C168" s="396"/>
      <c r="D168" s="396"/>
      <c r="E168" s="397"/>
      <c r="F168" s="3"/>
      <c r="G168" s="3"/>
      <c r="H168" s="3"/>
    </row>
    <row r="169">
      <c r="B169" s="396"/>
      <c r="C169" s="396"/>
      <c r="D169" s="396"/>
      <c r="E169" s="397"/>
      <c r="F169" s="3"/>
      <c r="G169" s="3"/>
      <c r="H169" s="3"/>
    </row>
    <row r="170">
      <c r="B170" s="396"/>
      <c r="C170" s="396"/>
      <c r="D170" s="396"/>
      <c r="E170" s="397"/>
      <c r="F170" s="3"/>
      <c r="G170" s="3"/>
      <c r="H170" s="3"/>
    </row>
    <row r="171">
      <c r="B171" s="396"/>
      <c r="C171" s="396"/>
      <c r="D171" s="396"/>
      <c r="E171" s="397"/>
      <c r="F171" s="3"/>
      <c r="G171" s="3"/>
      <c r="H171" s="3"/>
    </row>
    <row r="172">
      <c r="B172" s="396"/>
      <c r="C172" s="396"/>
      <c r="D172" s="396"/>
      <c r="E172" s="397"/>
      <c r="F172" s="3"/>
      <c r="G172" s="3"/>
      <c r="H172" s="3"/>
    </row>
    <row r="173">
      <c r="B173" s="396"/>
      <c r="C173" s="396"/>
      <c r="D173" s="396"/>
      <c r="E173" s="397"/>
      <c r="F173" s="3"/>
      <c r="G173" s="3"/>
      <c r="H173" s="3"/>
    </row>
    <row r="174">
      <c r="B174" s="396"/>
      <c r="C174" s="396"/>
      <c r="D174" s="396"/>
      <c r="E174" s="397"/>
      <c r="F174" s="3"/>
      <c r="G174" s="3"/>
      <c r="H174" s="3"/>
    </row>
    <row r="175">
      <c r="B175" s="396"/>
      <c r="C175" s="396"/>
      <c r="D175" s="396"/>
      <c r="E175" s="397"/>
      <c r="F175" s="3"/>
      <c r="G175" s="3"/>
      <c r="H175" s="3"/>
    </row>
    <row r="176">
      <c r="B176" s="396"/>
      <c r="C176" s="396"/>
      <c r="D176" s="396"/>
      <c r="E176" s="397"/>
      <c r="F176" s="3"/>
      <c r="G176" s="3"/>
      <c r="H176" s="3"/>
    </row>
    <row r="177">
      <c r="B177" s="396"/>
      <c r="C177" s="396"/>
      <c r="D177" s="396"/>
      <c r="E177" s="397"/>
      <c r="F177" s="3"/>
      <c r="G177" s="3"/>
      <c r="H177" s="3"/>
    </row>
    <row r="178">
      <c r="B178" s="396"/>
      <c r="C178" s="396"/>
      <c r="D178" s="396"/>
      <c r="E178" s="397"/>
      <c r="F178" s="3"/>
      <c r="G178" s="3"/>
      <c r="H178" s="3"/>
    </row>
    <row r="179">
      <c r="B179" s="396"/>
      <c r="C179" s="396"/>
      <c r="D179" s="396"/>
      <c r="E179" s="397"/>
      <c r="F179" s="3"/>
      <c r="G179" s="3"/>
      <c r="H179" s="3"/>
    </row>
    <row r="180">
      <c r="B180" s="396"/>
      <c r="C180" s="396"/>
      <c r="D180" s="396"/>
      <c r="E180" s="397"/>
      <c r="F180" s="3"/>
      <c r="G180" s="3"/>
      <c r="H180" s="3"/>
    </row>
    <row r="181">
      <c r="B181" s="396"/>
      <c r="C181" s="396"/>
      <c r="D181" s="396"/>
      <c r="E181" s="397"/>
      <c r="F181" s="3"/>
      <c r="G181" s="3"/>
      <c r="H181" s="3"/>
    </row>
    <row r="182">
      <c r="B182" s="396"/>
      <c r="C182" s="396"/>
      <c r="D182" s="396"/>
      <c r="E182" s="397"/>
      <c r="F182" s="3"/>
      <c r="G182" s="3"/>
      <c r="H182" s="3"/>
    </row>
    <row r="183">
      <c r="B183" s="396"/>
      <c r="C183" s="396"/>
      <c r="D183" s="396"/>
      <c r="E183" s="397"/>
      <c r="F183" s="3"/>
      <c r="G183" s="3"/>
      <c r="H183" s="3"/>
    </row>
    <row r="184">
      <c r="B184" s="396"/>
      <c r="C184" s="396"/>
      <c r="D184" s="396"/>
      <c r="E184" s="397"/>
      <c r="F184" s="3"/>
      <c r="G184" s="3"/>
      <c r="H184" s="3"/>
    </row>
    <row r="185">
      <c r="B185" s="396"/>
      <c r="C185" s="396"/>
      <c r="D185" s="396"/>
      <c r="E185" s="397"/>
      <c r="F185" s="3"/>
      <c r="G185" s="3"/>
      <c r="H185" s="3"/>
    </row>
    <row r="186">
      <c r="B186" s="396"/>
      <c r="C186" s="396"/>
      <c r="D186" s="396"/>
      <c r="E186" s="397"/>
      <c r="F186" s="3"/>
      <c r="G186" s="3"/>
      <c r="H186" s="3"/>
    </row>
    <row r="187">
      <c r="B187" s="396"/>
      <c r="C187" s="396"/>
      <c r="D187" s="396"/>
      <c r="E187" s="397"/>
      <c r="F187" s="3"/>
      <c r="G187" s="3"/>
      <c r="H187" s="3"/>
    </row>
    <row r="188">
      <c r="B188" s="396"/>
      <c r="C188" s="396"/>
      <c r="D188" s="396"/>
      <c r="E188" s="397"/>
      <c r="F188" s="3"/>
      <c r="G188" s="3"/>
      <c r="H188" s="3"/>
    </row>
    <row r="189">
      <c r="B189" s="396"/>
      <c r="C189" s="396"/>
      <c r="D189" s="396"/>
      <c r="E189" s="397"/>
      <c r="F189" s="3"/>
      <c r="G189" s="3"/>
      <c r="H189" s="3"/>
    </row>
    <row r="190">
      <c r="B190" s="396"/>
      <c r="C190" s="396"/>
      <c r="D190" s="396"/>
      <c r="E190" s="397"/>
      <c r="F190" s="3"/>
      <c r="G190" s="3"/>
      <c r="H190" s="3"/>
    </row>
    <row r="191">
      <c r="B191" s="396"/>
      <c r="C191" s="396"/>
      <c r="D191" s="396"/>
      <c r="E191" s="397"/>
      <c r="F191" s="3"/>
      <c r="G191" s="3"/>
      <c r="H191" s="3"/>
    </row>
    <row r="192">
      <c r="B192" s="396"/>
      <c r="C192" s="396"/>
      <c r="D192" s="396"/>
      <c r="E192" s="397"/>
      <c r="F192" s="3"/>
      <c r="G192" s="3"/>
      <c r="H192" s="3"/>
    </row>
    <row r="193">
      <c r="B193" s="396"/>
      <c r="C193" s="396"/>
      <c r="D193" s="396"/>
      <c r="E193" s="397"/>
      <c r="F193" s="3"/>
      <c r="G193" s="3"/>
      <c r="H193" s="3"/>
    </row>
    <row r="194">
      <c r="B194" s="396"/>
      <c r="C194" s="396"/>
      <c r="D194" s="396"/>
      <c r="E194" s="397"/>
      <c r="F194" s="3"/>
      <c r="G194" s="3"/>
      <c r="H194" s="3"/>
    </row>
    <row r="195">
      <c r="B195" s="396"/>
      <c r="C195" s="396"/>
      <c r="D195" s="396"/>
      <c r="E195" s="397"/>
      <c r="F195" s="3"/>
      <c r="G195" s="3"/>
      <c r="H195" s="3"/>
    </row>
    <row r="196">
      <c r="B196" s="396"/>
      <c r="C196" s="396"/>
      <c r="D196" s="396"/>
      <c r="E196" s="397"/>
      <c r="F196" s="3"/>
      <c r="G196" s="3"/>
      <c r="H196" s="3"/>
    </row>
    <row r="197">
      <c r="B197" s="396"/>
      <c r="C197" s="396"/>
      <c r="D197" s="396"/>
      <c r="E197" s="397"/>
      <c r="F197" s="3"/>
      <c r="G197" s="3"/>
      <c r="H197" s="3"/>
    </row>
    <row r="198">
      <c r="B198" s="396"/>
      <c r="C198" s="396"/>
      <c r="D198" s="396"/>
      <c r="E198" s="397"/>
      <c r="F198" s="3"/>
      <c r="G198" s="3"/>
      <c r="H198" s="3"/>
    </row>
    <row r="199">
      <c r="B199" s="396"/>
      <c r="C199" s="396"/>
      <c r="D199" s="396"/>
      <c r="E199" s="397"/>
      <c r="F199" s="3"/>
      <c r="G199" s="3"/>
      <c r="H199" s="3"/>
    </row>
    <row r="200">
      <c r="B200" s="396"/>
      <c r="C200" s="396"/>
      <c r="D200" s="396"/>
      <c r="E200" s="397"/>
      <c r="F200" s="3"/>
      <c r="G200" s="3"/>
      <c r="H200" s="3"/>
    </row>
    <row r="201">
      <c r="B201" s="396"/>
      <c r="C201" s="396"/>
      <c r="D201" s="396"/>
      <c r="E201" s="397"/>
      <c r="F201" s="3"/>
      <c r="G201" s="3"/>
      <c r="H201" s="3"/>
    </row>
    <row r="202">
      <c r="B202" s="396"/>
      <c r="C202" s="396"/>
      <c r="D202" s="396"/>
      <c r="E202" s="397"/>
      <c r="F202" s="3"/>
      <c r="G202" s="3"/>
      <c r="H202" s="3"/>
    </row>
    <row r="203">
      <c r="B203" s="396"/>
      <c r="C203" s="396"/>
      <c r="D203" s="396"/>
      <c r="E203" s="397"/>
      <c r="F203" s="3"/>
      <c r="G203" s="3"/>
      <c r="H203" s="3"/>
    </row>
    <row r="204">
      <c r="B204" s="396"/>
      <c r="C204" s="396"/>
      <c r="D204" s="396"/>
      <c r="E204" s="397"/>
      <c r="F204" s="3"/>
      <c r="G204" s="3"/>
      <c r="H204" s="3"/>
    </row>
    <row r="205">
      <c r="B205" s="396"/>
      <c r="C205" s="396"/>
      <c r="D205" s="396"/>
      <c r="E205" s="397"/>
      <c r="F205" s="3"/>
      <c r="G205" s="3"/>
      <c r="H205" s="3"/>
    </row>
    <row r="206">
      <c r="B206" s="396"/>
      <c r="C206" s="396"/>
      <c r="D206" s="396"/>
      <c r="E206" s="397"/>
      <c r="F206" s="3"/>
      <c r="G206" s="3"/>
      <c r="H206" s="3"/>
    </row>
    <row r="207">
      <c r="B207" s="396"/>
      <c r="C207" s="396"/>
      <c r="D207" s="396"/>
      <c r="E207" s="397"/>
      <c r="F207" s="3"/>
      <c r="G207" s="3"/>
      <c r="H207" s="3"/>
    </row>
    <row r="208">
      <c r="B208" s="396"/>
      <c r="C208" s="396"/>
      <c r="D208" s="396"/>
      <c r="E208" s="397"/>
      <c r="F208" s="3"/>
      <c r="G208" s="3"/>
      <c r="H208" s="3"/>
    </row>
    <row r="209">
      <c r="B209" s="396"/>
      <c r="C209" s="396"/>
      <c r="D209" s="396"/>
      <c r="E209" s="397"/>
      <c r="F209" s="3"/>
      <c r="G209" s="3"/>
      <c r="H209" s="3"/>
    </row>
    <row r="210">
      <c r="B210" s="396"/>
      <c r="C210" s="396"/>
      <c r="D210" s="396"/>
      <c r="E210" s="397"/>
      <c r="F210" s="3"/>
      <c r="G210" s="3"/>
      <c r="H210" s="3"/>
    </row>
    <row r="211">
      <c r="B211" s="396"/>
      <c r="C211" s="396"/>
      <c r="D211" s="396"/>
      <c r="E211" s="397"/>
      <c r="F211" s="3"/>
      <c r="G211" s="3"/>
      <c r="H211" s="3"/>
    </row>
    <row r="212">
      <c r="B212" s="396"/>
      <c r="C212" s="396"/>
      <c r="D212" s="396"/>
      <c r="E212" s="397"/>
      <c r="F212" s="3"/>
      <c r="G212" s="3"/>
      <c r="H212" s="3"/>
    </row>
    <row r="213">
      <c r="B213" s="396"/>
      <c r="C213" s="396"/>
      <c r="D213" s="396"/>
      <c r="E213" s="397"/>
      <c r="F213" s="3"/>
      <c r="G213" s="3"/>
      <c r="H213" s="3"/>
    </row>
    <row r="214">
      <c r="B214" s="396"/>
      <c r="C214" s="396"/>
      <c r="D214" s="396"/>
      <c r="E214" s="397"/>
      <c r="F214" s="3"/>
      <c r="G214" s="3"/>
      <c r="H214" s="3"/>
    </row>
    <row r="215">
      <c r="B215" s="396"/>
      <c r="C215" s="396"/>
      <c r="D215" s="396"/>
      <c r="E215" s="397"/>
      <c r="F215" s="3"/>
      <c r="G215" s="3"/>
      <c r="H215" s="3"/>
    </row>
    <row r="216">
      <c r="B216" s="396"/>
      <c r="C216" s="396"/>
      <c r="D216" s="396"/>
      <c r="E216" s="397"/>
      <c r="F216" s="3"/>
      <c r="G216" s="3"/>
      <c r="H216" s="3"/>
    </row>
    <row r="217">
      <c r="B217" s="396"/>
      <c r="C217" s="396"/>
      <c r="D217" s="396"/>
      <c r="E217" s="397"/>
      <c r="F217" s="3"/>
      <c r="G217" s="3"/>
      <c r="H217" s="3"/>
    </row>
    <row r="218">
      <c r="B218" s="396"/>
      <c r="C218" s="396"/>
      <c r="D218" s="396"/>
      <c r="E218" s="397"/>
      <c r="F218" s="3"/>
      <c r="G218" s="3"/>
      <c r="H218" s="3"/>
    </row>
    <row r="219">
      <c r="B219" s="396"/>
      <c r="C219" s="396"/>
      <c r="D219" s="396"/>
      <c r="E219" s="397"/>
      <c r="F219" s="3"/>
      <c r="G219" s="3"/>
      <c r="H219" s="3"/>
    </row>
    <row r="220">
      <c r="B220" s="396"/>
      <c r="C220" s="396"/>
      <c r="D220" s="396"/>
      <c r="E220" s="397"/>
      <c r="F220" s="3"/>
      <c r="G220" s="3"/>
      <c r="H220" s="3"/>
    </row>
    <row r="221">
      <c r="B221" s="396"/>
      <c r="C221" s="396"/>
      <c r="D221" s="396"/>
      <c r="E221" s="397"/>
      <c r="F221" s="3"/>
      <c r="G221" s="3"/>
      <c r="H221" s="3"/>
    </row>
    <row r="222">
      <c r="B222" s="396"/>
      <c r="C222" s="396"/>
      <c r="D222" s="396"/>
      <c r="E222" s="397"/>
      <c r="F222" s="3"/>
      <c r="G222" s="3"/>
      <c r="H222" s="3"/>
    </row>
    <row r="223">
      <c r="B223" s="396"/>
      <c r="C223" s="396"/>
      <c r="D223" s="396"/>
      <c r="E223" s="397"/>
      <c r="F223" s="3"/>
      <c r="G223" s="3"/>
      <c r="H223" s="3"/>
    </row>
    <row r="224">
      <c r="B224" s="396"/>
      <c r="C224" s="396"/>
      <c r="D224" s="396"/>
      <c r="E224" s="397"/>
      <c r="F224" s="3"/>
      <c r="G224" s="3"/>
      <c r="H224" s="3"/>
    </row>
    <row r="225">
      <c r="B225" s="396"/>
      <c r="C225" s="396"/>
      <c r="D225" s="396"/>
      <c r="E225" s="397"/>
      <c r="F225" s="3"/>
      <c r="G225" s="3"/>
      <c r="H225" s="3"/>
    </row>
    <row r="226">
      <c r="B226" s="396"/>
      <c r="C226" s="396"/>
      <c r="D226" s="396"/>
      <c r="E226" s="397"/>
      <c r="F226" s="3"/>
      <c r="G226" s="3"/>
      <c r="H226" s="3"/>
    </row>
    <row r="227">
      <c r="B227" s="396"/>
      <c r="C227" s="396"/>
      <c r="D227" s="396"/>
      <c r="E227" s="397"/>
      <c r="F227" s="3"/>
      <c r="G227" s="3"/>
      <c r="H227" s="3"/>
    </row>
    <row r="228">
      <c r="B228" s="396"/>
      <c r="C228" s="396"/>
      <c r="D228" s="396"/>
      <c r="E228" s="397"/>
      <c r="F228" s="3"/>
      <c r="G228" s="3"/>
      <c r="H228" s="3"/>
    </row>
    <row r="229">
      <c r="B229" s="396"/>
      <c r="C229" s="396"/>
      <c r="D229" s="396"/>
      <c r="E229" s="397"/>
      <c r="F229" s="3"/>
      <c r="G229" s="3"/>
      <c r="H229" s="3"/>
    </row>
    <row r="230">
      <c r="B230" s="396"/>
      <c r="C230" s="396"/>
      <c r="D230" s="396"/>
      <c r="E230" s="397"/>
      <c r="F230" s="3"/>
      <c r="G230" s="3"/>
      <c r="H230" s="3"/>
    </row>
    <row r="231">
      <c r="B231" s="396"/>
      <c r="C231" s="396"/>
      <c r="D231" s="396"/>
      <c r="E231" s="397"/>
      <c r="F231" s="3"/>
      <c r="G231" s="3"/>
      <c r="H231" s="3"/>
    </row>
    <row r="232">
      <c r="B232" s="396"/>
      <c r="C232" s="396"/>
      <c r="D232" s="396"/>
      <c r="E232" s="397"/>
      <c r="F232" s="3"/>
      <c r="G232" s="3"/>
      <c r="H232" s="3"/>
    </row>
    <row r="233">
      <c r="B233" s="396"/>
      <c r="C233" s="396"/>
      <c r="D233" s="396"/>
      <c r="E233" s="397"/>
      <c r="F233" s="3"/>
      <c r="G233" s="3"/>
      <c r="H233" s="3"/>
    </row>
    <row r="234">
      <c r="B234" s="396"/>
      <c r="C234" s="396"/>
      <c r="D234" s="396"/>
      <c r="E234" s="397"/>
      <c r="F234" s="3"/>
      <c r="G234" s="3"/>
      <c r="H234" s="3"/>
    </row>
    <row r="235">
      <c r="B235" s="396"/>
      <c r="C235" s="396"/>
      <c r="D235" s="396"/>
      <c r="E235" s="397"/>
      <c r="F235" s="3"/>
      <c r="G235" s="3"/>
      <c r="H235" s="3"/>
    </row>
    <row r="236">
      <c r="B236" s="396"/>
      <c r="C236" s="396"/>
      <c r="D236" s="396"/>
      <c r="E236" s="397"/>
      <c r="F236" s="3"/>
      <c r="G236" s="3"/>
      <c r="H236" s="3"/>
    </row>
    <row r="237">
      <c r="B237" s="396"/>
      <c r="C237" s="396"/>
      <c r="D237" s="396"/>
      <c r="E237" s="397"/>
      <c r="F237" s="3"/>
      <c r="G237" s="3"/>
      <c r="H237" s="3"/>
    </row>
    <row r="238">
      <c r="B238" s="396"/>
      <c r="C238" s="396"/>
      <c r="D238" s="396"/>
      <c r="E238" s="397"/>
      <c r="F238" s="3"/>
      <c r="G238" s="3"/>
      <c r="H238" s="3"/>
    </row>
    <row r="239">
      <c r="B239" s="396"/>
      <c r="C239" s="396"/>
      <c r="D239" s="396"/>
      <c r="E239" s="397"/>
      <c r="F239" s="3"/>
      <c r="G239" s="3"/>
      <c r="H239" s="3"/>
    </row>
    <row r="240">
      <c r="B240" s="396"/>
      <c r="C240" s="396"/>
      <c r="D240" s="396"/>
      <c r="E240" s="397"/>
      <c r="F240" s="3"/>
      <c r="G240" s="3"/>
      <c r="H240" s="3"/>
    </row>
    <row r="241">
      <c r="B241" s="396"/>
      <c r="C241" s="396"/>
      <c r="D241" s="396"/>
      <c r="E241" s="397"/>
      <c r="F241" s="3"/>
      <c r="G241" s="3"/>
      <c r="H241" s="3"/>
    </row>
    <row r="242">
      <c r="B242" s="396"/>
      <c r="C242" s="396"/>
      <c r="D242" s="396"/>
      <c r="E242" s="397"/>
      <c r="F242" s="3"/>
      <c r="G242" s="3"/>
      <c r="H242" s="3"/>
    </row>
    <row r="243">
      <c r="B243" s="396"/>
      <c r="C243" s="396"/>
      <c r="D243" s="396"/>
      <c r="E243" s="397"/>
      <c r="F243" s="3"/>
      <c r="G243" s="3"/>
      <c r="H243" s="3"/>
    </row>
    <row r="244">
      <c r="B244" s="396"/>
      <c r="C244" s="396"/>
      <c r="D244" s="396"/>
      <c r="E244" s="397"/>
      <c r="F244" s="3"/>
      <c r="G244" s="3"/>
      <c r="H244" s="3"/>
    </row>
    <row r="245">
      <c r="B245" s="396"/>
      <c r="C245" s="396"/>
      <c r="D245" s="396"/>
      <c r="E245" s="397"/>
      <c r="F245" s="3"/>
      <c r="G245" s="3"/>
      <c r="H245" s="3"/>
    </row>
    <row r="246">
      <c r="B246" s="396"/>
      <c r="C246" s="396"/>
      <c r="D246" s="396"/>
      <c r="E246" s="397"/>
      <c r="F246" s="3"/>
      <c r="G246" s="3"/>
      <c r="H246" s="3"/>
    </row>
    <row r="247">
      <c r="B247" s="396"/>
      <c r="C247" s="396"/>
      <c r="D247" s="396"/>
      <c r="E247" s="397"/>
      <c r="F247" s="3"/>
      <c r="G247" s="3"/>
      <c r="H247" s="3"/>
    </row>
    <row r="248">
      <c r="B248" s="396"/>
      <c r="C248" s="396"/>
      <c r="D248" s="396"/>
      <c r="E248" s="397"/>
      <c r="F248" s="3"/>
      <c r="G248" s="3"/>
      <c r="H248" s="3"/>
    </row>
    <row r="249">
      <c r="B249" s="396"/>
      <c r="C249" s="396"/>
      <c r="D249" s="396"/>
      <c r="E249" s="397"/>
      <c r="F249" s="3"/>
      <c r="G249" s="3"/>
      <c r="H249" s="3"/>
    </row>
    <row r="250">
      <c r="B250" s="396"/>
      <c r="C250" s="396"/>
      <c r="D250" s="396"/>
      <c r="E250" s="397"/>
      <c r="F250" s="3"/>
      <c r="G250" s="3"/>
      <c r="H250" s="3"/>
    </row>
    <row r="251">
      <c r="B251" s="396"/>
      <c r="C251" s="396"/>
      <c r="D251" s="396"/>
      <c r="E251" s="397"/>
      <c r="F251" s="3"/>
      <c r="G251" s="3"/>
      <c r="H251" s="3"/>
    </row>
    <row r="252">
      <c r="B252" s="396"/>
      <c r="C252" s="396"/>
      <c r="D252" s="396"/>
      <c r="E252" s="397"/>
      <c r="F252" s="3"/>
      <c r="G252" s="3"/>
      <c r="H252" s="3"/>
    </row>
    <row r="253">
      <c r="B253" s="396"/>
      <c r="C253" s="396"/>
      <c r="D253" s="396"/>
      <c r="E253" s="397"/>
      <c r="F253" s="3"/>
      <c r="G253" s="3"/>
      <c r="H253" s="3"/>
    </row>
    <row r="254">
      <c r="B254" s="396"/>
      <c r="C254" s="396"/>
      <c r="D254" s="396"/>
      <c r="E254" s="397"/>
      <c r="F254" s="3"/>
      <c r="G254" s="3"/>
      <c r="H254" s="3"/>
    </row>
    <row r="255">
      <c r="B255" s="396"/>
      <c r="C255" s="396"/>
      <c r="D255" s="396"/>
      <c r="E255" s="397"/>
      <c r="F255" s="3"/>
      <c r="G255" s="3"/>
      <c r="H255" s="3"/>
    </row>
    <row r="256">
      <c r="B256" s="396"/>
      <c r="C256" s="396"/>
      <c r="D256" s="396"/>
      <c r="E256" s="397"/>
      <c r="F256" s="3"/>
      <c r="G256" s="3"/>
      <c r="H256" s="3"/>
    </row>
    <row r="257">
      <c r="B257" s="396"/>
      <c r="C257" s="396"/>
      <c r="D257" s="396"/>
      <c r="E257" s="397"/>
      <c r="F257" s="3"/>
      <c r="G257" s="3"/>
      <c r="H257" s="3"/>
    </row>
    <row r="258">
      <c r="B258" s="396"/>
      <c r="C258" s="396"/>
      <c r="D258" s="396"/>
      <c r="E258" s="397"/>
      <c r="F258" s="3"/>
      <c r="G258" s="3"/>
      <c r="H258" s="3"/>
    </row>
    <row r="259">
      <c r="B259" s="396"/>
      <c r="C259" s="396"/>
      <c r="D259" s="396"/>
      <c r="E259" s="397"/>
      <c r="F259" s="3"/>
      <c r="G259" s="3"/>
      <c r="H259" s="3"/>
    </row>
    <row r="260">
      <c r="B260" s="396"/>
      <c r="C260" s="396"/>
      <c r="D260" s="396"/>
      <c r="E260" s="397"/>
      <c r="F260" s="3"/>
      <c r="G260" s="3"/>
      <c r="H260" s="3"/>
    </row>
    <row r="261">
      <c r="B261" s="396"/>
      <c r="C261" s="396"/>
      <c r="D261" s="396"/>
      <c r="E261" s="397"/>
      <c r="F261" s="3"/>
      <c r="G261" s="3"/>
      <c r="H261" s="3"/>
    </row>
    <row r="262">
      <c r="B262" s="396"/>
      <c r="C262" s="396"/>
      <c r="D262" s="396"/>
      <c r="E262" s="397"/>
      <c r="F262" s="3"/>
      <c r="G262" s="3"/>
      <c r="H262" s="3"/>
    </row>
    <row r="263">
      <c r="B263" s="396"/>
      <c r="C263" s="396"/>
      <c r="D263" s="396"/>
      <c r="E263" s="397"/>
      <c r="F263" s="3"/>
      <c r="G263" s="3"/>
      <c r="H263" s="3"/>
    </row>
    <row r="264">
      <c r="B264" s="396"/>
      <c r="C264" s="396"/>
      <c r="D264" s="396"/>
      <c r="E264" s="397"/>
      <c r="F264" s="3"/>
      <c r="G264" s="3"/>
      <c r="H264" s="3"/>
    </row>
    <row r="265">
      <c r="B265" s="396"/>
      <c r="C265" s="396"/>
      <c r="D265" s="396"/>
      <c r="E265" s="397"/>
      <c r="F265" s="3"/>
      <c r="G265" s="3"/>
      <c r="H265" s="3"/>
    </row>
    <row r="266">
      <c r="B266" s="396"/>
      <c r="C266" s="396"/>
      <c r="D266" s="396"/>
      <c r="E266" s="397"/>
      <c r="F266" s="3"/>
      <c r="G266" s="3"/>
      <c r="H266" s="3"/>
    </row>
    <row r="267">
      <c r="B267" s="396"/>
      <c r="C267" s="396"/>
      <c r="D267" s="396"/>
      <c r="E267" s="397"/>
      <c r="F267" s="3"/>
      <c r="G267" s="3"/>
      <c r="H267" s="3"/>
    </row>
    <row r="268">
      <c r="B268" s="396"/>
      <c r="C268" s="396"/>
      <c r="D268" s="396"/>
      <c r="E268" s="397"/>
      <c r="F268" s="3"/>
      <c r="G268" s="3"/>
      <c r="H268" s="3"/>
    </row>
    <row r="269">
      <c r="B269" s="396"/>
      <c r="C269" s="396"/>
      <c r="D269" s="396"/>
      <c r="E269" s="397"/>
      <c r="F269" s="3"/>
      <c r="G269" s="3"/>
      <c r="H269" s="3"/>
    </row>
    <row r="270">
      <c r="B270" s="396"/>
      <c r="C270" s="396"/>
      <c r="D270" s="396"/>
      <c r="E270" s="397"/>
      <c r="F270" s="3"/>
      <c r="G270" s="3"/>
      <c r="H270" s="3"/>
    </row>
    <row r="271">
      <c r="B271" s="396"/>
      <c r="C271" s="396"/>
      <c r="D271" s="396"/>
      <c r="E271" s="397"/>
      <c r="F271" s="3"/>
      <c r="G271" s="3"/>
      <c r="H271" s="3"/>
    </row>
    <row r="272">
      <c r="B272" s="396"/>
      <c r="C272" s="396"/>
      <c r="D272" s="396"/>
      <c r="E272" s="397"/>
      <c r="F272" s="3"/>
      <c r="G272" s="3"/>
      <c r="H272" s="3"/>
    </row>
    <row r="273">
      <c r="B273" s="396"/>
      <c r="C273" s="396"/>
      <c r="D273" s="396"/>
      <c r="E273" s="397"/>
      <c r="F273" s="3"/>
      <c r="G273" s="3"/>
      <c r="H273" s="3"/>
    </row>
    <row r="274">
      <c r="B274" s="396"/>
      <c r="C274" s="396"/>
      <c r="D274" s="396"/>
      <c r="E274" s="397"/>
      <c r="F274" s="3"/>
      <c r="G274" s="3"/>
      <c r="H274" s="3"/>
    </row>
    <row r="275">
      <c r="B275" s="396"/>
      <c r="C275" s="396"/>
      <c r="D275" s="396"/>
      <c r="E275" s="397"/>
      <c r="F275" s="3"/>
      <c r="G275" s="3"/>
      <c r="H275" s="3"/>
    </row>
    <row r="276">
      <c r="B276" s="396"/>
      <c r="C276" s="396"/>
      <c r="D276" s="396"/>
      <c r="E276" s="397"/>
      <c r="F276" s="3"/>
      <c r="G276" s="3"/>
      <c r="H276" s="3"/>
    </row>
    <row r="277">
      <c r="B277" s="396"/>
      <c r="C277" s="396"/>
      <c r="D277" s="396"/>
      <c r="E277" s="397"/>
      <c r="F277" s="3"/>
      <c r="G277" s="3"/>
      <c r="H277" s="3"/>
    </row>
    <row r="278">
      <c r="B278" s="396"/>
      <c r="C278" s="396"/>
      <c r="D278" s="396"/>
      <c r="E278" s="397"/>
      <c r="F278" s="3"/>
      <c r="G278" s="3"/>
      <c r="H278" s="3"/>
    </row>
    <row r="279">
      <c r="B279" s="396"/>
      <c r="C279" s="396"/>
      <c r="D279" s="396"/>
      <c r="E279" s="397"/>
      <c r="F279" s="3"/>
      <c r="G279" s="3"/>
      <c r="H279" s="3"/>
    </row>
    <row r="280">
      <c r="B280" s="396"/>
      <c r="C280" s="396"/>
      <c r="D280" s="396"/>
      <c r="E280" s="397"/>
      <c r="F280" s="3"/>
      <c r="G280" s="3"/>
      <c r="H280" s="3"/>
    </row>
    <row r="281">
      <c r="B281" s="396"/>
      <c r="C281" s="396"/>
      <c r="D281" s="396"/>
      <c r="E281" s="397"/>
      <c r="F281" s="3"/>
      <c r="G281" s="3"/>
      <c r="H281" s="3"/>
    </row>
    <row r="282">
      <c r="B282" s="396"/>
      <c r="C282" s="396"/>
      <c r="D282" s="396"/>
      <c r="E282" s="397"/>
      <c r="F282" s="3"/>
      <c r="G282" s="3"/>
      <c r="H282" s="3"/>
    </row>
    <row r="283">
      <c r="B283" s="396"/>
      <c r="C283" s="396"/>
      <c r="D283" s="396"/>
      <c r="E283" s="397"/>
      <c r="F283" s="3"/>
      <c r="G283" s="3"/>
      <c r="H283" s="3"/>
    </row>
    <row r="284">
      <c r="B284" s="396"/>
      <c r="C284" s="396"/>
      <c r="D284" s="396"/>
      <c r="E284" s="397"/>
      <c r="F284" s="3"/>
      <c r="G284" s="3"/>
      <c r="H284" s="3"/>
    </row>
    <row r="285">
      <c r="B285" s="396"/>
      <c r="C285" s="396"/>
      <c r="D285" s="396"/>
      <c r="E285" s="397"/>
      <c r="F285" s="3"/>
      <c r="G285" s="3"/>
      <c r="H285" s="3"/>
    </row>
    <row r="286">
      <c r="B286" s="396"/>
      <c r="C286" s="396"/>
      <c r="D286" s="396"/>
      <c r="E286" s="397"/>
      <c r="F286" s="3"/>
      <c r="G286" s="3"/>
      <c r="H286" s="3"/>
    </row>
    <row r="287">
      <c r="B287" s="396"/>
      <c r="C287" s="396"/>
      <c r="D287" s="396"/>
      <c r="E287" s="397"/>
      <c r="F287" s="3"/>
      <c r="G287" s="3"/>
      <c r="H287" s="3"/>
    </row>
    <row r="288">
      <c r="B288" s="396"/>
      <c r="C288" s="396"/>
      <c r="D288" s="396"/>
      <c r="E288" s="397"/>
      <c r="F288" s="3"/>
      <c r="G288" s="3"/>
      <c r="H288" s="3"/>
    </row>
    <row r="289">
      <c r="B289" s="396"/>
      <c r="C289" s="396"/>
      <c r="D289" s="396"/>
      <c r="E289" s="397"/>
      <c r="F289" s="3"/>
      <c r="G289" s="3"/>
      <c r="H289" s="3"/>
    </row>
    <row r="290">
      <c r="B290" s="396"/>
      <c r="C290" s="396"/>
      <c r="D290" s="396"/>
      <c r="E290" s="397"/>
      <c r="F290" s="3"/>
      <c r="G290" s="3"/>
      <c r="H290" s="3"/>
    </row>
    <row r="291">
      <c r="B291" s="396"/>
      <c r="C291" s="396"/>
      <c r="D291" s="396"/>
      <c r="E291" s="397"/>
      <c r="F291" s="3"/>
      <c r="G291" s="3"/>
      <c r="H291" s="3"/>
    </row>
    <row r="292">
      <c r="B292" s="396"/>
      <c r="C292" s="396"/>
      <c r="D292" s="396"/>
      <c r="E292" s="397"/>
      <c r="F292" s="3"/>
      <c r="G292" s="3"/>
      <c r="H292" s="3"/>
    </row>
    <row r="293">
      <c r="B293" s="396"/>
      <c r="C293" s="396"/>
      <c r="D293" s="396"/>
      <c r="E293" s="397"/>
      <c r="F293" s="3"/>
      <c r="G293" s="3"/>
      <c r="H293" s="3"/>
    </row>
    <row r="294">
      <c r="B294" s="396"/>
      <c r="C294" s="396"/>
      <c r="D294" s="396"/>
      <c r="E294" s="397"/>
      <c r="F294" s="3"/>
      <c r="G294" s="3"/>
      <c r="H294" s="3"/>
    </row>
    <row r="295">
      <c r="B295" s="396"/>
      <c r="C295" s="396"/>
      <c r="D295" s="396"/>
      <c r="E295" s="397"/>
      <c r="F295" s="3"/>
      <c r="G295" s="3"/>
      <c r="H295" s="3"/>
    </row>
    <row r="296">
      <c r="B296" s="396"/>
      <c r="C296" s="396"/>
      <c r="D296" s="396"/>
      <c r="E296" s="397"/>
      <c r="F296" s="3"/>
      <c r="G296" s="3"/>
      <c r="H296" s="3"/>
    </row>
    <row r="297">
      <c r="B297" s="396"/>
      <c r="C297" s="396"/>
      <c r="D297" s="396"/>
      <c r="E297" s="397"/>
      <c r="F297" s="3"/>
      <c r="G297" s="3"/>
      <c r="H297" s="3"/>
    </row>
    <row r="298">
      <c r="B298" s="396"/>
      <c r="C298" s="396"/>
      <c r="D298" s="396"/>
      <c r="E298" s="397"/>
      <c r="F298" s="3"/>
      <c r="G298" s="3"/>
      <c r="H298" s="3"/>
    </row>
    <row r="299">
      <c r="B299" s="396"/>
      <c r="C299" s="396"/>
      <c r="D299" s="396"/>
      <c r="E299" s="397"/>
      <c r="F299" s="3"/>
      <c r="G299" s="3"/>
      <c r="H299" s="3"/>
    </row>
    <row r="300">
      <c r="B300" s="396"/>
      <c r="C300" s="396"/>
      <c r="D300" s="396"/>
      <c r="E300" s="397"/>
      <c r="F300" s="3"/>
      <c r="G300" s="3"/>
      <c r="H300" s="3"/>
    </row>
    <row r="301">
      <c r="B301" s="396"/>
      <c r="C301" s="396"/>
      <c r="D301" s="396"/>
      <c r="E301" s="397"/>
      <c r="F301" s="3"/>
      <c r="G301" s="3"/>
      <c r="H301" s="3"/>
    </row>
    <row r="302">
      <c r="B302" s="396"/>
      <c r="C302" s="396"/>
      <c r="D302" s="396"/>
      <c r="E302" s="397"/>
      <c r="F302" s="3"/>
      <c r="G302" s="3"/>
      <c r="H302" s="3"/>
    </row>
    <row r="303">
      <c r="B303" s="396"/>
      <c r="C303" s="396"/>
      <c r="D303" s="396"/>
      <c r="E303" s="397"/>
      <c r="F303" s="3"/>
      <c r="G303" s="3"/>
      <c r="H303" s="3"/>
    </row>
    <row r="304">
      <c r="B304" s="396"/>
      <c r="C304" s="396"/>
      <c r="D304" s="396"/>
      <c r="E304" s="397"/>
      <c r="F304" s="3"/>
      <c r="G304" s="3"/>
      <c r="H304" s="3"/>
    </row>
    <row r="305">
      <c r="B305" s="396"/>
      <c r="C305" s="396"/>
      <c r="D305" s="396"/>
      <c r="E305" s="397"/>
      <c r="F305" s="3"/>
      <c r="G305" s="3"/>
      <c r="H305" s="3"/>
    </row>
    <row r="306">
      <c r="B306" s="396"/>
      <c r="C306" s="396"/>
      <c r="D306" s="396"/>
      <c r="E306" s="397"/>
      <c r="F306" s="3"/>
      <c r="G306" s="3"/>
      <c r="H306" s="3"/>
    </row>
    <row r="307">
      <c r="B307" s="396"/>
      <c r="C307" s="396"/>
      <c r="D307" s="396"/>
      <c r="E307" s="397"/>
      <c r="F307" s="3"/>
      <c r="G307" s="3"/>
      <c r="H307" s="3"/>
    </row>
    <row r="308">
      <c r="B308" s="396"/>
      <c r="C308" s="396"/>
      <c r="D308" s="396"/>
      <c r="E308" s="397"/>
      <c r="F308" s="3"/>
      <c r="G308" s="3"/>
      <c r="H308" s="3"/>
    </row>
    <row r="309">
      <c r="B309" s="396"/>
      <c r="C309" s="396"/>
      <c r="D309" s="396"/>
      <c r="E309" s="397"/>
      <c r="F309" s="3"/>
      <c r="G309" s="3"/>
      <c r="H309" s="3"/>
    </row>
    <row r="310">
      <c r="B310" s="396"/>
      <c r="C310" s="396"/>
      <c r="D310" s="396"/>
      <c r="E310" s="397"/>
      <c r="F310" s="3"/>
      <c r="G310" s="3"/>
      <c r="H310" s="3"/>
    </row>
    <row r="311">
      <c r="B311" s="396"/>
      <c r="C311" s="396"/>
      <c r="D311" s="396"/>
      <c r="E311" s="397"/>
      <c r="F311" s="3"/>
      <c r="G311" s="3"/>
      <c r="H311" s="3"/>
    </row>
    <row r="312">
      <c r="B312" s="396"/>
      <c r="C312" s="396"/>
      <c r="D312" s="396"/>
      <c r="E312" s="397"/>
      <c r="F312" s="3"/>
      <c r="G312" s="3"/>
      <c r="H312" s="3"/>
    </row>
    <row r="313">
      <c r="B313" s="396"/>
      <c r="C313" s="396"/>
      <c r="D313" s="396"/>
      <c r="E313" s="397"/>
      <c r="F313" s="3"/>
      <c r="G313" s="3"/>
      <c r="H313" s="3"/>
    </row>
    <row r="314">
      <c r="B314" s="396"/>
      <c r="C314" s="396"/>
      <c r="D314" s="396"/>
      <c r="E314" s="397"/>
      <c r="F314" s="3"/>
      <c r="G314" s="3"/>
      <c r="H314" s="3"/>
    </row>
    <row r="315">
      <c r="B315" s="396"/>
      <c r="C315" s="396"/>
      <c r="D315" s="396"/>
      <c r="E315" s="397"/>
      <c r="F315" s="3"/>
      <c r="G315" s="3"/>
      <c r="H315" s="3"/>
    </row>
    <row r="316">
      <c r="B316" s="396"/>
      <c r="C316" s="396"/>
      <c r="D316" s="396"/>
      <c r="E316" s="397"/>
      <c r="F316" s="3"/>
      <c r="G316" s="3"/>
      <c r="H316" s="3"/>
    </row>
    <row r="317">
      <c r="B317" s="396"/>
      <c r="C317" s="396"/>
      <c r="D317" s="396"/>
      <c r="E317" s="397"/>
      <c r="F317" s="3"/>
      <c r="G317" s="3"/>
      <c r="H317" s="3"/>
    </row>
    <row r="318">
      <c r="B318" s="396"/>
      <c r="C318" s="396"/>
      <c r="D318" s="396"/>
      <c r="E318" s="397"/>
      <c r="F318" s="3"/>
      <c r="G318" s="3"/>
      <c r="H318" s="3"/>
    </row>
    <row r="319">
      <c r="B319" s="396"/>
      <c r="C319" s="396"/>
      <c r="D319" s="396"/>
      <c r="E319" s="397"/>
      <c r="F319" s="3"/>
      <c r="G319" s="3"/>
      <c r="H319" s="3"/>
    </row>
    <row r="320">
      <c r="B320" s="396"/>
      <c r="C320" s="396"/>
      <c r="D320" s="396"/>
      <c r="E320" s="397"/>
      <c r="F320" s="3"/>
      <c r="G320" s="3"/>
      <c r="H320" s="3"/>
    </row>
    <row r="321">
      <c r="B321" s="396"/>
      <c r="C321" s="396"/>
      <c r="D321" s="396"/>
      <c r="E321" s="397"/>
      <c r="F321" s="3"/>
      <c r="G321" s="3"/>
      <c r="H321" s="3"/>
    </row>
    <row r="322">
      <c r="B322" s="396"/>
      <c r="C322" s="396"/>
      <c r="D322" s="396"/>
      <c r="E322" s="397"/>
      <c r="F322" s="3"/>
      <c r="G322" s="3"/>
      <c r="H322" s="3"/>
    </row>
    <row r="323">
      <c r="B323" s="396"/>
      <c r="C323" s="396"/>
      <c r="D323" s="396"/>
      <c r="E323" s="397"/>
      <c r="F323" s="3"/>
      <c r="G323" s="3"/>
      <c r="H323" s="3"/>
    </row>
    <row r="324">
      <c r="B324" s="396"/>
      <c r="C324" s="396"/>
      <c r="D324" s="396"/>
      <c r="E324" s="397"/>
      <c r="F324" s="3"/>
      <c r="G324" s="3"/>
      <c r="H324" s="3"/>
    </row>
    <row r="325">
      <c r="B325" s="396"/>
      <c r="C325" s="396"/>
      <c r="D325" s="396"/>
      <c r="E325" s="397"/>
      <c r="F325" s="3"/>
      <c r="G325" s="3"/>
      <c r="H325" s="3"/>
    </row>
    <row r="326">
      <c r="B326" s="396"/>
      <c r="C326" s="396"/>
      <c r="D326" s="396"/>
      <c r="E326" s="397"/>
      <c r="F326" s="3"/>
      <c r="G326" s="3"/>
      <c r="H326" s="3"/>
    </row>
    <row r="327">
      <c r="B327" s="396"/>
      <c r="C327" s="396"/>
      <c r="D327" s="396"/>
      <c r="E327" s="397"/>
      <c r="F327" s="3"/>
      <c r="G327" s="3"/>
      <c r="H327" s="3"/>
    </row>
    <row r="328">
      <c r="B328" s="396"/>
      <c r="C328" s="396"/>
      <c r="D328" s="396"/>
      <c r="E328" s="397"/>
      <c r="F328" s="3"/>
      <c r="G328" s="3"/>
      <c r="H328" s="3"/>
    </row>
    <row r="329">
      <c r="B329" s="396"/>
      <c r="C329" s="396"/>
      <c r="D329" s="396"/>
      <c r="E329" s="397"/>
      <c r="F329" s="3"/>
      <c r="G329" s="3"/>
      <c r="H329" s="3"/>
    </row>
    <row r="330">
      <c r="B330" s="396"/>
      <c r="C330" s="396"/>
      <c r="D330" s="396"/>
      <c r="E330" s="397"/>
      <c r="F330" s="3"/>
      <c r="G330" s="3"/>
      <c r="H330" s="3"/>
    </row>
    <row r="331">
      <c r="B331" s="396"/>
      <c r="C331" s="396"/>
      <c r="D331" s="396"/>
      <c r="E331" s="397"/>
      <c r="F331" s="3"/>
      <c r="G331" s="3"/>
      <c r="H331" s="3"/>
    </row>
    <row r="332">
      <c r="B332" s="396"/>
      <c r="C332" s="396"/>
      <c r="D332" s="396"/>
      <c r="E332" s="397"/>
      <c r="F332" s="3"/>
      <c r="G332" s="3"/>
      <c r="H332" s="3"/>
    </row>
    <row r="333">
      <c r="B333" s="396"/>
      <c r="C333" s="396"/>
      <c r="D333" s="396"/>
      <c r="E333" s="397"/>
      <c r="F333" s="3"/>
      <c r="G333" s="3"/>
      <c r="H333" s="3"/>
    </row>
    <row r="334">
      <c r="B334" s="396"/>
      <c r="C334" s="396"/>
      <c r="D334" s="396"/>
      <c r="E334" s="397"/>
      <c r="F334" s="3"/>
      <c r="G334" s="3"/>
      <c r="H334" s="3"/>
    </row>
    <row r="335">
      <c r="B335" s="396"/>
      <c r="C335" s="396"/>
      <c r="D335" s="396"/>
      <c r="E335" s="397"/>
      <c r="F335" s="3"/>
      <c r="G335" s="3"/>
      <c r="H335" s="3"/>
    </row>
    <row r="336">
      <c r="B336" s="396"/>
      <c r="C336" s="396"/>
      <c r="D336" s="396"/>
      <c r="E336" s="397"/>
      <c r="F336" s="3"/>
      <c r="G336" s="3"/>
      <c r="H336" s="3"/>
    </row>
    <row r="337">
      <c r="B337" s="396"/>
      <c r="C337" s="396"/>
      <c r="D337" s="396"/>
      <c r="E337" s="397"/>
      <c r="F337" s="3"/>
      <c r="G337" s="3"/>
      <c r="H337" s="3"/>
    </row>
    <row r="338">
      <c r="B338" s="396"/>
      <c r="C338" s="396"/>
      <c r="D338" s="396"/>
      <c r="E338" s="397"/>
      <c r="F338" s="3"/>
      <c r="G338" s="3"/>
      <c r="H338" s="3"/>
    </row>
    <row r="339">
      <c r="B339" s="396"/>
      <c r="C339" s="396"/>
      <c r="D339" s="396"/>
      <c r="E339" s="397"/>
      <c r="F339" s="3"/>
      <c r="G339" s="3"/>
      <c r="H339" s="3"/>
    </row>
    <row r="340">
      <c r="B340" s="396"/>
      <c r="C340" s="396"/>
      <c r="D340" s="396"/>
      <c r="E340" s="397"/>
      <c r="F340" s="3"/>
      <c r="G340" s="3"/>
      <c r="H340" s="3"/>
    </row>
    <row r="341">
      <c r="B341" s="396"/>
      <c r="C341" s="396"/>
      <c r="D341" s="396"/>
      <c r="E341" s="397"/>
      <c r="F341" s="3"/>
      <c r="G341" s="3"/>
      <c r="H341" s="3"/>
    </row>
    <row r="342">
      <c r="B342" s="396"/>
      <c r="C342" s="396"/>
      <c r="D342" s="396"/>
      <c r="E342" s="397"/>
      <c r="F342" s="3"/>
      <c r="G342" s="3"/>
      <c r="H342" s="3"/>
    </row>
    <row r="343">
      <c r="B343" s="396"/>
      <c r="C343" s="396"/>
      <c r="D343" s="396"/>
      <c r="E343" s="397"/>
      <c r="F343" s="3"/>
      <c r="G343" s="3"/>
      <c r="H343" s="3"/>
    </row>
    <row r="344">
      <c r="B344" s="396"/>
      <c r="C344" s="396"/>
      <c r="D344" s="396"/>
      <c r="E344" s="397"/>
      <c r="F344" s="3"/>
      <c r="G344" s="3"/>
      <c r="H344" s="3"/>
    </row>
    <row r="345">
      <c r="B345" s="396"/>
      <c r="C345" s="396"/>
      <c r="D345" s="396"/>
      <c r="E345" s="397"/>
      <c r="F345" s="3"/>
      <c r="G345" s="3"/>
      <c r="H345" s="3"/>
    </row>
    <row r="346">
      <c r="B346" s="396"/>
      <c r="C346" s="396"/>
      <c r="D346" s="396"/>
      <c r="E346" s="397"/>
      <c r="F346" s="3"/>
      <c r="G346" s="3"/>
      <c r="H346" s="3"/>
    </row>
    <row r="347">
      <c r="B347" s="396"/>
      <c r="C347" s="396"/>
      <c r="D347" s="396"/>
      <c r="E347" s="397"/>
      <c r="F347" s="3"/>
      <c r="G347" s="3"/>
      <c r="H347" s="3"/>
    </row>
    <row r="348">
      <c r="B348" s="396"/>
      <c r="C348" s="396"/>
      <c r="D348" s="396"/>
      <c r="E348" s="397"/>
      <c r="F348" s="3"/>
      <c r="G348" s="3"/>
      <c r="H348" s="3"/>
    </row>
    <row r="349">
      <c r="B349" s="396"/>
      <c r="C349" s="396"/>
      <c r="D349" s="396"/>
      <c r="E349" s="397"/>
      <c r="F349" s="3"/>
      <c r="G349" s="3"/>
      <c r="H349" s="3"/>
    </row>
    <row r="350">
      <c r="B350" s="396"/>
      <c r="C350" s="396"/>
      <c r="D350" s="396"/>
      <c r="E350" s="397"/>
      <c r="F350" s="3"/>
      <c r="G350" s="3"/>
      <c r="H350" s="3"/>
    </row>
    <row r="351">
      <c r="B351" s="396"/>
      <c r="C351" s="396"/>
      <c r="D351" s="396"/>
      <c r="E351" s="397"/>
      <c r="F351" s="3"/>
      <c r="G351" s="3"/>
      <c r="H351" s="3"/>
    </row>
    <row r="352">
      <c r="B352" s="396"/>
      <c r="C352" s="396"/>
      <c r="D352" s="396"/>
      <c r="E352" s="397"/>
      <c r="F352" s="3"/>
      <c r="G352" s="3"/>
      <c r="H352" s="3"/>
    </row>
    <row r="353">
      <c r="B353" s="396"/>
      <c r="C353" s="396"/>
      <c r="D353" s="396"/>
      <c r="E353" s="397"/>
      <c r="F353" s="3"/>
      <c r="G353" s="3"/>
      <c r="H353" s="3"/>
    </row>
    <row r="354">
      <c r="B354" s="396"/>
      <c r="C354" s="396"/>
      <c r="D354" s="396"/>
      <c r="E354" s="397"/>
      <c r="F354" s="3"/>
      <c r="G354" s="3"/>
      <c r="H354" s="3"/>
    </row>
    <row r="355">
      <c r="B355" s="396"/>
      <c r="C355" s="396"/>
      <c r="D355" s="396"/>
      <c r="E355" s="397"/>
      <c r="F355" s="3"/>
      <c r="G355" s="3"/>
      <c r="H355" s="3"/>
    </row>
    <row r="356">
      <c r="B356" s="396"/>
      <c r="C356" s="396"/>
      <c r="D356" s="396"/>
      <c r="E356" s="397"/>
      <c r="F356" s="3"/>
      <c r="G356" s="3"/>
      <c r="H356" s="3"/>
    </row>
    <row r="357">
      <c r="B357" s="396"/>
      <c r="C357" s="396"/>
      <c r="D357" s="396"/>
      <c r="E357" s="397"/>
      <c r="F357" s="3"/>
      <c r="G357" s="3"/>
      <c r="H357" s="3"/>
    </row>
    <row r="358">
      <c r="B358" s="396"/>
      <c r="C358" s="396"/>
      <c r="D358" s="396"/>
      <c r="E358" s="397"/>
      <c r="F358" s="3"/>
      <c r="G358" s="3"/>
      <c r="H358" s="3"/>
    </row>
    <row r="359">
      <c r="B359" s="396"/>
      <c r="C359" s="396"/>
      <c r="D359" s="396"/>
      <c r="E359" s="397"/>
      <c r="F359" s="3"/>
      <c r="G359" s="3"/>
      <c r="H359" s="3"/>
    </row>
    <row r="360">
      <c r="B360" s="396"/>
      <c r="C360" s="396"/>
      <c r="D360" s="396"/>
      <c r="E360" s="397"/>
      <c r="F360" s="3"/>
      <c r="G360" s="3"/>
      <c r="H360" s="3"/>
    </row>
    <row r="361">
      <c r="B361" s="396"/>
      <c r="C361" s="396"/>
      <c r="D361" s="396"/>
      <c r="E361" s="397"/>
      <c r="F361" s="3"/>
      <c r="G361" s="3"/>
      <c r="H361" s="3"/>
    </row>
    <row r="362">
      <c r="B362" s="396"/>
      <c r="C362" s="396"/>
      <c r="D362" s="396"/>
      <c r="E362" s="397"/>
      <c r="F362" s="3"/>
      <c r="G362" s="3"/>
      <c r="H362" s="3"/>
    </row>
    <row r="363">
      <c r="B363" s="396"/>
      <c r="C363" s="396"/>
      <c r="D363" s="396"/>
      <c r="E363" s="397"/>
      <c r="F363" s="3"/>
      <c r="G363" s="3"/>
      <c r="H363" s="3"/>
    </row>
    <row r="364">
      <c r="B364" s="396"/>
      <c r="C364" s="396"/>
      <c r="D364" s="396"/>
      <c r="E364" s="397"/>
      <c r="F364" s="3"/>
      <c r="G364" s="3"/>
      <c r="H364" s="3"/>
    </row>
    <row r="365">
      <c r="B365" s="396"/>
      <c r="C365" s="396"/>
      <c r="D365" s="396"/>
      <c r="E365" s="397"/>
      <c r="F365" s="3"/>
      <c r="G365" s="3"/>
      <c r="H365" s="3"/>
    </row>
    <row r="366">
      <c r="B366" s="396"/>
      <c r="C366" s="396"/>
      <c r="D366" s="396"/>
      <c r="E366" s="397"/>
      <c r="F366" s="3"/>
      <c r="G366" s="3"/>
      <c r="H366" s="3"/>
    </row>
    <row r="367">
      <c r="B367" s="396"/>
      <c r="C367" s="396"/>
      <c r="D367" s="396"/>
      <c r="E367" s="397"/>
      <c r="F367" s="3"/>
      <c r="G367" s="3"/>
      <c r="H367" s="3"/>
    </row>
    <row r="368">
      <c r="B368" s="396"/>
      <c r="C368" s="396"/>
      <c r="D368" s="396"/>
      <c r="E368" s="397"/>
      <c r="F368" s="3"/>
      <c r="G368" s="3"/>
      <c r="H368" s="3"/>
    </row>
    <row r="369">
      <c r="B369" s="396"/>
      <c r="C369" s="396"/>
      <c r="D369" s="396"/>
      <c r="E369" s="397"/>
      <c r="F369" s="3"/>
      <c r="G369" s="3"/>
      <c r="H369" s="3"/>
    </row>
    <row r="370">
      <c r="B370" s="396"/>
      <c r="C370" s="396"/>
      <c r="D370" s="396"/>
      <c r="E370" s="397"/>
      <c r="F370" s="3"/>
      <c r="G370" s="3"/>
      <c r="H370" s="3"/>
    </row>
    <row r="371">
      <c r="B371" s="396"/>
      <c r="C371" s="396"/>
      <c r="D371" s="396"/>
      <c r="E371" s="397"/>
      <c r="F371" s="3"/>
      <c r="G371" s="3"/>
      <c r="H371" s="3"/>
    </row>
    <row r="372">
      <c r="B372" s="396"/>
      <c r="C372" s="396"/>
      <c r="D372" s="396"/>
      <c r="E372" s="397"/>
      <c r="F372" s="3"/>
      <c r="G372" s="3"/>
      <c r="H372" s="3"/>
    </row>
    <row r="373">
      <c r="B373" s="396"/>
      <c r="C373" s="396"/>
      <c r="D373" s="396"/>
      <c r="E373" s="397"/>
      <c r="F373" s="3"/>
      <c r="G373" s="3"/>
      <c r="H373" s="3"/>
    </row>
    <row r="374">
      <c r="B374" s="396"/>
      <c r="C374" s="396"/>
      <c r="D374" s="396"/>
      <c r="E374" s="397"/>
      <c r="F374" s="3"/>
      <c r="G374" s="3"/>
      <c r="H374" s="3"/>
    </row>
    <row r="375">
      <c r="B375" s="396"/>
      <c r="C375" s="396"/>
      <c r="D375" s="396"/>
      <c r="E375" s="397"/>
      <c r="F375" s="3"/>
      <c r="G375" s="3"/>
      <c r="H375" s="3"/>
    </row>
    <row r="376">
      <c r="B376" s="396"/>
      <c r="C376" s="396"/>
      <c r="D376" s="396"/>
      <c r="E376" s="397"/>
      <c r="F376" s="3"/>
      <c r="G376" s="3"/>
      <c r="H376" s="3"/>
    </row>
    <row r="377">
      <c r="B377" s="396"/>
      <c r="C377" s="396"/>
      <c r="D377" s="396"/>
      <c r="E377" s="397"/>
      <c r="F377" s="3"/>
      <c r="G377" s="3"/>
      <c r="H377" s="3"/>
    </row>
    <row r="378">
      <c r="B378" s="396"/>
      <c r="C378" s="396"/>
      <c r="D378" s="396"/>
      <c r="E378" s="397"/>
      <c r="F378" s="3"/>
      <c r="G378" s="3"/>
      <c r="H378" s="3"/>
    </row>
    <row r="379">
      <c r="B379" s="396"/>
      <c r="C379" s="396"/>
      <c r="D379" s="396"/>
      <c r="E379" s="397"/>
      <c r="F379" s="3"/>
      <c r="G379" s="3"/>
      <c r="H379" s="3"/>
    </row>
    <row r="380">
      <c r="B380" s="396"/>
      <c r="C380" s="396"/>
      <c r="D380" s="396"/>
      <c r="E380" s="397"/>
      <c r="F380" s="3"/>
      <c r="G380" s="3"/>
      <c r="H380" s="3"/>
    </row>
    <row r="381">
      <c r="B381" s="396"/>
      <c r="C381" s="396"/>
      <c r="D381" s="396"/>
      <c r="E381" s="397"/>
      <c r="F381" s="3"/>
      <c r="G381" s="3"/>
      <c r="H381" s="3"/>
    </row>
    <row r="382">
      <c r="B382" s="396"/>
      <c r="C382" s="396"/>
      <c r="D382" s="396"/>
      <c r="E382" s="397"/>
      <c r="F382" s="3"/>
      <c r="G382" s="3"/>
      <c r="H382" s="3"/>
    </row>
    <row r="383">
      <c r="B383" s="396"/>
      <c r="C383" s="396"/>
      <c r="D383" s="396"/>
      <c r="E383" s="397"/>
      <c r="F383" s="3"/>
      <c r="G383" s="3"/>
      <c r="H383" s="3"/>
    </row>
    <row r="384">
      <c r="B384" s="396"/>
      <c r="C384" s="396"/>
      <c r="D384" s="396"/>
      <c r="E384" s="397"/>
      <c r="F384" s="3"/>
      <c r="G384" s="3"/>
      <c r="H384" s="3"/>
    </row>
    <row r="385">
      <c r="B385" s="396"/>
      <c r="C385" s="396"/>
      <c r="D385" s="396"/>
      <c r="E385" s="397"/>
      <c r="F385" s="3"/>
      <c r="G385" s="3"/>
      <c r="H385" s="3"/>
    </row>
    <row r="386">
      <c r="B386" s="396"/>
      <c r="C386" s="396"/>
      <c r="D386" s="396"/>
      <c r="E386" s="397"/>
      <c r="F386" s="3"/>
      <c r="G386" s="3"/>
      <c r="H386" s="3"/>
    </row>
    <row r="387">
      <c r="B387" s="396"/>
      <c r="C387" s="396"/>
      <c r="D387" s="396"/>
      <c r="E387" s="397"/>
      <c r="F387" s="3"/>
      <c r="G387" s="3"/>
      <c r="H387" s="3"/>
    </row>
    <row r="388">
      <c r="B388" s="396"/>
      <c r="C388" s="396"/>
      <c r="D388" s="396"/>
      <c r="E388" s="397"/>
      <c r="F388" s="3"/>
      <c r="G388" s="3"/>
      <c r="H388" s="3"/>
    </row>
    <row r="389">
      <c r="B389" s="396"/>
      <c r="C389" s="396"/>
      <c r="D389" s="396"/>
      <c r="E389" s="397"/>
      <c r="F389" s="3"/>
      <c r="G389" s="3"/>
      <c r="H389" s="3"/>
    </row>
    <row r="390">
      <c r="B390" s="396"/>
      <c r="C390" s="396"/>
      <c r="D390" s="396"/>
      <c r="E390" s="397"/>
      <c r="F390" s="3"/>
      <c r="G390" s="3"/>
      <c r="H390" s="3"/>
    </row>
    <row r="391">
      <c r="B391" s="396"/>
      <c r="C391" s="396"/>
      <c r="D391" s="396"/>
      <c r="E391" s="397"/>
      <c r="F391" s="3"/>
      <c r="G391" s="3"/>
      <c r="H391" s="3"/>
    </row>
    <row r="392">
      <c r="B392" s="396"/>
      <c r="C392" s="396"/>
      <c r="D392" s="396"/>
      <c r="E392" s="397"/>
      <c r="F392" s="3"/>
      <c r="G392" s="3"/>
      <c r="H392" s="3"/>
    </row>
    <row r="393">
      <c r="B393" s="396"/>
      <c r="C393" s="396"/>
      <c r="D393" s="396"/>
      <c r="E393" s="397"/>
      <c r="F393" s="3"/>
      <c r="G393" s="3"/>
      <c r="H393" s="3"/>
    </row>
    <row r="394">
      <c r="B394" s="396"/>
      <c r="C394" s="396"/>
      <c r="D394" s="396"/>
      <c r="E394" s="397"/>
      <c r="F394" s="3"/>
      <c r="G394" s="3"/>
      <c r="H394" s="3"/>
    </row>
    <row r="395">
      <c r="B395" s="396"/>
      <c r="C395" s="396"/>
      <c r="D395" s="396"/>
      <c r="E395" s="397"/>
      <c r="F395" s="3"/>
      <c r="G395" s="3"/>
      <c r="H395" s="3"/>
    </row>
    <row r="396">
      <c r="B396" s="396"/>
      <c r="C396" s="396"/>
      <c r="D396" s="396"/>
      <c r="E396" s="397"/>
      <c r="F396" s="3"/>
      <c r="G396" s="3"/>
      <c r="H396" s="3"/>
    </row>
    <row r="397">
      <c r="B397" s="396"/>
      <c r="C397" s="396"/>
      <c r="D397" s="396"/>
      <c r="E397" s="397"/>
      <c r="F397" s="3"/>
      <c r="G397" s="3"/>
      <c r="H397" s="3"/>
    </row>
    <row r="398">
      <c r="B398" s="396"/>
      <c r="C398" s="396"/>
      <c r="D398" s="396"/>
      <c r="E398" s="397"/>
      <c r="F398" s="3"/>
      <c r="G398" s="3"/>
      <c r="H398" s="3"/>
    </row>
    <row r="399">
      <c r="B399" s="396"/>
      <c r="C399" s="396"/>
      <c r="D399" s="396"/>
      <c r="E399" s="397"/>
      <c r="F399" s="3"/>
      <c r="G399" s="3"/>
      <c r="H399" s="3"/>
    </row>
    <row r="400">
      <c r="B400" s="396"/>
      <c r="C400" s="396"/>
      <c r="D400" s="396"/>
      <c r="E400" s="397"/>
      <c r="F400" s="3"/>
      <c r="G400" s="3"/>
      <c r="H400" s="3"/>
    </row>
    <row r="401">
      <c r="B401" s="396"/>
      <c r="C401" s="396"/>
      <c r="D401" s="396"/>
      <c r="E401" s="397"/>
      <c r="F401" s="3"/>
      <c r="G401" s="3"/>
      <c r="H401" s="3"/>
    </row>
    <row r="402">
      <c r="B402" s="396"/>
      <c r="C402" s="396"/>
      <c r="D402" s="396"/>
      <c r="E402" s="397"/>
      <c r="F402" s="3"/>
      <c r="G402" s="3"/>
      <c r="H402" s="3"/>
    </row>
    <row r="403">
      <c r="B403" s="396"/>
      <c r="C403" s="396"/>
      <c r="D403" s="396"/>
      <c r="E403" s="397"/>
      <c r="F403" s="3"/>
      <c r="G403" s="3"/>
      <c r="H403" s="3"/>
    </row>
    <row r="404">
      <c r="B404" s="396"/>
      <c r="C404" s="396"/>
      <c r="D404" s="396"/>
      <c r="E404" s="397"/>
      <c r="F404" s="3"/>
      <c r="G404" s="3"/>
      <c r="H404" s="3"/>
    </row>
    <row r="405">
      <c r="B405" s="396"/>
      <c r="C405" s="396"/>
      <c r="D405" s="396"/>
      <c r="E405" s="397"/>
      <c r="F405" s="3"/>
      <c r="G405" s="3"/>
      <c r="H405" s="3"/>
    </row>
    <row r="406">
      <c r="B406" s="396"/>
      <c r="C406" s="396"/>
      <c r="D406" s="396"/>
      <c r="E406" s="397"/>
      <c r="F406" s="3"/>
      <c r="G406" s="3"/>
      <c r="H406" s="3"/>
    </row>
    <row r="407">
      <c r="B407" s="396"/>
      <c r="C407" s="396"/>
      <c r="D407" s="396"/>
      <c r="E407" s="397"/>
      <c r="F407" s="3"/>
      <c r="G407" s="3"/>
      <c r="H407" s="3"/>
    </row>
    <row r="408">
      <c r="B408" s="396"/>
      <c r="C408" s="396"/>
      <c r="D408" s="396"/>
      <c r="E408" s="397"/>
      <c r="F408" s="3"/>
      <c r="G408" s="3"/>
      <c r="H408" s="3"/>
    </row>
    <row r="409">
      <c r="B409" s="396"/>
      <c r="C409" s="396"/>
      <c r="D409" s="396"/>
      <c r="E409" s="397"/>
      <c r="F409" s="3"/>
      <c r="G409" s="3"/>
      <c r="H409" s="3"/>
    </row>
    <row r="410">
      <c r="B410" s="396"/>
      <c r="C410" s="396"/>
      <c r="D410" s="396"/>
      <c r="E410" s="397"/>
      <c r="F410" s="3"/>
      <c r="G410" s="3"/>
      <c r="H410" s="3"/>
    </row>
    <row r="411">
      <c r="B411" s="396"/>
      <c r="C411" s="396"/>
      <c r="D411" s="396"/>
      <c r="E411" s="397"/>
      <c r="F411" s="3"/>
      <c r="G411" s="3"/>
      <c r="H411" s="3"/>
    </row>
    <row r="412">
      <c r="B412" s="396"/>
      <c r="C412" s="396"/>
      <c r="D412" s="396"/>
      <c r="E412" s="397"/>
      <c r="F412" s="3"/>
      <c r="G412" s="3"/>
      <c r="H412" s="3"/>
    </row>
    <row r="413">
      <c r="B413" s="396"/>
      <c r="C413" s="396"/>
      <c r="D413" s="396"/>
      <c r="E413" s="397"/>
      <c r="F413" s="3"/>
      <c r="G413" s="3"/>
      <c r="H413" s="3"/>
    </row>
    <row r="414">
      <c r="B414" s="396"/>
      <c r="C414" s="396"/>
      <c r="D414" s="396"/>
      <c r="E414" s="397"/>
      <c r="F414" s="3"/>
      <c r="G414" s="3"/>
      <c r="H414" s="3"/>
    </row>
    <row r="415">
      <c r="B415" s="396"/>
      <c r="C415" s="396"/>
      <c r="D415" s="396"/>
      <c r="E415" s="397"/>
      <c r="F415" s="3"/>
      <c r="G415" s="3"/>
      <c r="H415" s="3"/>
    </row>
    <row r="416">
      <c r="B416" s="396"/>
      <c r="C416" s="396"/>
      <c r="D416" s="396"/>
      <c r="E416" s="397"/>
      <c r="F416" s="3"/>
      <c r="G416" s="3"/>
      <c r="H416" s="3"/>
    </row>
    <row r="417">
      <c r="B417" s="396"/>
      <c r="C417" s="396"/>
      <c r="D417" s="396"/>
      <c r="E417" s="397"/>
      <c r="F417" s="3"/>
      <c r="G417" s="3"/>
      <c r="H417" s="3"/>
    </row>
    <row r="418">
      <c r="B418" s="396"/>
      <c r="C418" s="396"/>
      <c r="D418" s="396"/>
      <c r="E418" s="397"/>
      <c r="F418" s="3"/>
      <c r="G418" s="3"/>
      <c r="H418" s="3"/>
    </row>
    <row r="419">
      <c r="B419" s="396"/>
      <c r="C419" s="396"/>
      <c r="D419" s="396"/>
      <c r="E419" s="397"/>
      <c r="F419" s="3"/>
      <c r="G419" s="3"/>
      <c r="H419" s="3"/>
    </row>
    <row r="420">
      <c r="B420" s="396"/>
      <c r="C420" s="396"/>
      <c r="D420" s="396"/>
      <c r="E420" s="397"/>
      <c r="F420" s="3"/>
      <c r="G420" s="3"/>
      <c r="H420" s="3"/>
    </row>
    <row r="421">
      <c r="B421" s="396"/>
      <c r="C421" s="396"/>
      <c r="D421" s="396"/>
      <c r="E421" s="397"/>
      <c r="F421" s="3"/>
      <c r="G421" s="3"/>
      <c r="H421" s="3"/>
    </row>
    <row r="422">
      <c r="B422" s="396"/>
      <c r="C422" s="396"/>
      <c r="D422" s="396"/>
      <c r="E422" s="397"/>
      <c r="F422" s="3"/>
      <c r="G422" s="3"/>
      <c r="H422" s="3"/>
    </row>
    <row r="423">
      <c r="B423" s="396"/>
      <c r="C423" s="396"/>
      <c r="D423" s="396"/>
      <c r="E423" s="397"/>
      <c r="F423" s="3"/>
      <c r="G423" s="3"/>
      <c r="H423" s="3"/>
    </row>
    <row r="424">
      <c r="B424" s="396"/>
      <c r="C424" s="396"/>
      <c r="D424" s="396"/>
      <c r="E424" s="397"/>
      <c r="F424" s="3"/>
      <c r="G424" s="3"/>
      <c r="H424" s="3"/>
    </row>
    <row r="425">
      <c r="B425" s="396"/>
      <c r="C425" s="396"/>
      <c r="D425" s="396"/>
      <c r="E425" s="397"/>
      <c r="F425" s="3"/>
      <c r="G425" s="3"/>
      <c r="H425" s="3"/>
    </row>
    <row r="426">
      <c r="B426" s="396"/>
      <c r="C426" s="396"/>
      <c r="D426" s="396"/>
      <c r="E426" s="397"/>
      <c r="F426" s="3"/>
      <c r="G426" s="3"/>
      <c r="H426" s="3"/>
    </row>
    <row r="427">
      <c r="B427" s="396"/>
      <c r="C427" s="396"/>
      <c r="D427" s="396"/>
      <c r="E427" s="397"/>
      <c r="F427" s="3"/>
      <c r="G427" s="3"/>
      <c r="H427" s="3"/>
    </row>
    <row r="428">
      <c r="B428" s="396"/>
      <c r="C428" s="396"/>
      <c r="D428" s="396"/>
      <c r="E428" s="397"/>
      <c r="F428" s="3"/>
      <c r="G428" s="3"/>
      <c r="H428" s="3"/>
    </row>
    <row r="429">
      <c r="B429" s="396"/>
      <c r="C429" s="396"/>
      <c r="D429" s="396"/>
      <c r="E429" s="397"/>
      <c r="F429" s="3"/>
      <c r="G429" s="3"/>
      <c r="H429" s="3"/>
    </row>
    <row r="430">
      <c r="B430" s="396"/>
      <c r="C430" s="396"/>
      <c r="D430" s="396"/>
      <c r="E430" s="397"/>
      <c r="F430" s="3"/>
      <c r="G430" s="3"/>
      <c r="H430" s="3"/>
    </row>
    <row r="431">
      <c r="B431" s="396"/>
      <c r="C431" s="396"/>
      <c r="D431" s="396"/>
      <c r="E431" s="397"/>
      <c r="F431" s="3"/>
      <c r="G431" s="3"/>
      <c r="H431" s="3"/>
    </row>
    <row r="432">
      <c r="B432" s="396"/>
      <c r="C432" s="396"/>
      <c r="D432" s="396"/>
      <c r="E432" s="397"/>
      <c r="F432" s="3"/>
      <c r="G432" s="3"/>
      <c r="H432" s="3"/>
    </row>
    <row r="433">
      <c r="B433" s="396"/>
      <c r="C433" s="396"/>
      <c r="D433" s="396"/>
      <c r="E433" s="397"/>
      <c r="F433" s="3"/>
      <c r="G433" s="3"/>
      <c r="H433" s="3"/>
    </row>
    <row r="434">
      <c r="B434" s="396"/>
      <c r="C434" s="396"/>
      <c r="D434" s="396"/>
      <c r="E434" s="397"/>
      <c r="F434" s="3"/>
      <c r="G434" s="3"/>
      <c r="H434" s="3"/>
    </row>
    <row r="435">
      <c r="B435" s="396"/>
      <c r="C435" s="396"/>
      <c r="D435" s="396"/>
      <c r="E435" s="397"/>
      <c r="F435" s="3"/>
      <c r="G435" s="3"/>
      <c r="H435" s="3"/>
    </row>
    <row r="436">
      <c r="B436" s="396"/>
      <c r="C436" s="396"/>
      <c r="D436" s="396"/>
      <c r="E436" s="397"/>
      <c r="F436" s="3"/>
      <c r="G436" s="3"/>
      <c r="H436" s="3"/>
    </row>
    <row r="437">
      <c r="B437" s="396"/>
      <c r="C437" s="396"/>
      <c r="D437" s="396"/>
      <c r="E437" s="397"/>
      <c r="F437" s="3"/>
      <c r="G437" s="3"/>
      <c r="H437" s="3"/>
    </row>
    <row r="438">
      <c r="B438" s="396"/>
      <c r="C438" s="396"/>
      <c r="D438" s="396"/>
      <c r="E438" s="397"/>
      <c r="F438" s="3"/>
      <c r="G438" s="3"/>
      <c r="H438" s="3"/>
    </row>
    <row r="439">
      <c r="B439" s="396"/>
      <c r="C439" s="396"/>
      <c r="D439" s="396"/>
      <c r="E439" s="397"/>
      <c r="F439" s="3"/>
      <c r="G439" s="3"/>
      <c r="H439" s="3"/>
    </row>
    <row r="440">
      <c r="B440" s="396"/>
      <c r="C440" s="396"/>
      <c r="D440" s="396"/>
      <c r="E440" s="397"/>
      <c r="F440" s="3"/>
      <c r="G440" s="3"/>
      <c r="H440" s="3"/>
    </row>
    <row r="441">
      <c r="B441" s="396"/>
      <c r="C441" s="396"/>
      <c r="D441" s="396"/>
      <c r="E441" s="397"/>
      <c r="F441" s="3"/>
      <c r="G441" s="3"/>
      <c r="H441" s="3"/>
    </row>
    <row r="442">
      <c r="B442" s="396"/>
      <c r="C442" s="396"/>
      <c r="D442" s="396"/>
      <c r="E442" s="397"/>
      <c r="F442" s="3"/>
      <c r="G442" s="3"/>
      <c r="H442" s="3"/>
    </row>
    <row r="443">
      <c r="B443" s="396"/>
      <c r="C443" s="396"/>
      <c r="D443" s="396"/>
      <c r="E443" s="397"/>
      <c r="F443" s="3"/>
      <c r="G443" s="3"/>
      <c r="H443" s="3"/>
    </row>
    <row r="444">
      <c r="B444" s="396"/>
      <c r="C444" s="396"/>
      <c r="D444" s="396"/>
      <c r="E444" s="397"/>
      <c r="F444" s="3"/>
      <c r="G444" s="3"/>
      <c r="H444" s="3"/>
    </row>
    <row r="445">
      <c r="B445" s="396"/>
      <c r="C445" s="396"/>
      <c r="D445" s="396"/>
      <c r="E445" s="397"/>
      <c r="F445" s="3"/>
      <c r="G445" s="3"/>
      <c r="H445" s="3"/>
    </row>
    <row r="446">
      <c r="B446" s="396"/>
      <c r="C446" s="396"/>
      <c r="D446" s="396"/>
      <c r="E446" s="397"/>
      <c r="F446" s="3"/>
      <c r="G446" s="3"/>
      <c r="H446" s="3"/>
    </row>
    <row r="447">
      <c r="B447" s="396"/>
      <c r="C447" s="396"/>
      <c r="D447" s="396"/>
      <c r="E447" s="397"/>
      <c r="F447" s="3"/>
      <c r="G447" s="3"/>
      <c r="H447" s="3"/>
    </row>
    <row r="448">
      <c r="B448" s="396"/>
      <c r="C448" s="396"/>
      <c r="D448" s="396"/>
      <c r="E448" s="397"/>
      <c r="F448" s="3"/>
      <c r="G448" s="3"/>
      <c r="H448" s="3"/>
    </row>
    <row r="449">
      <c r="B449" s="396"/>
      <c r="C449" s="396"/>
      <c r="D449" s="396"/>
      <c r="E449" s="397"/>
      <c r="F449" s="3"/>
      <c r="G449" s="3"/>
      <c r="H449" s="3"/>
    </row>
    <row r="450">
      <c r="B450" s="396"/>
      <c r="C450" s="396"/>
      <c r="D450" s="396"/>
      <c r="E450" s="397"/>
      <c r="F450" s="3"/>
      <c r="G450" s="3"/>
      <c r="H450" s="3"/>
    </row>
    <row r="451">
      <c r="B451" s="396"/>
      <c r="C451" s="396"/>
      <c r="D451" s="396"/>
      <c r="E451" s="397"/>
      <c r="F451" s="3"/>
      <c r="G451" s="3"/>
      <c r="H451" s="3"/>
    </row>
    <row r="452">
      <c r="B452" s="396"/>
      <c r="C452" s="396"/>
      <c r="D452" s="396"/>
      <c r="E452" s="397"/>
      <c r="F452" s="3"/>
      <c r="G452" s="3"/>
      <c r="H452" s="3"/>
    </row>
    <row r="453">
      <c r="B453" s="396"/>
      <c r="C453" s="396"/>
      <c r="D453" s="396"/>
      <c r="E453" s="397"/>
      <c r="F453" s="3"/>
      <c r="G453" s="3"/>
      <c r="H453" s="3"/>
    </row>
    <row r="454">
      <c r="B454" s="396"/>
      <c r="C454" s="396"/>
      <c r="D454" s="396"/>
      <c r="E454" s="397"/>
      <c r="F454" s="3"/>
      <c r="G454" s="3"/>
      <c r="H454" s="3"/>
    </row>
    <row r="455">
      <c r="B455" s="396"/>
      <c r="C455" s="396"/>
      <c r="D455" s="396"/>
      <c r="E455" s="397"/>
      <c r="F455" s="3"/>
      <c r="G455" s="3"/>
      <c r="H455" s="3"/>
    </row>
    <row r="456">
      <c r="B456" s="396"/>
      <c r="C456" s="396"/>
      <c r="D456" s="396"/>
      <c r="E456" s="397"/>
      <c r="F456" s="3"/>
      <c r="G456" s="3"/>
      <c r="H456" s="3"/>
    </row>
    <row r="457">
      <c r="B457" s="396"/>
      <c r="C457" s="396"/>
      <c r="D457" s="396"/>
      <c r="E457" s="397"/>
      <c r="F457" s="3"/>
      <c r="G457" s="3"/>
      <c r="H457" s="3"/>
    </row>
    <row r="458">
      <c r="B458" s="396"/>
      <c r="C458" s="396"/>
      <c r="D458" s="396"/>
      <c r="E458" s="397"/>
      <c r="F458" s="3"/>
      <c r="G458" s="3"/>
      <c r="H458" s="3"/>
    </row>
    <row r="459">
      <c r="B459" s="396"/>
      <c r="C459" s="396"/>
      <c r="D459" s="396"/>
      <c r="E459" s="397"/>
      <c r="F459" s="3"/>
      <c r="G459" s="3"/>
      <c r="H459" s="3"/>
    </row>
    <row r="460">
      <c r="B460" s="396"/>
      <c r="C460" s="396"/>
      <c r="D460" s="396"/>
      <c r="E460" s="397"/>
      <c r="F460" s="3"/>
      <c r="G460" s="3"/>
      <c r="H460" s="3"/>
    </row>
    <row r="461">
      <c r="B461" s="396"/>
      <c r="C461" s="396"/>
      <c r="D461" s="396"/>
      <c r="E461" s="397"/>
      <c r="F461" s="3"/>
      <c r="G461" s="3"/>
      <c r="H461" s="3"/>
    </row>
    <row r="462">
      <c r="B462" s="396"/>
      <c r="C462" s="396"/>
      <c r="D462" s="396"/>
      <c r="E462" s="397"/>
      <c r="F462" s="3"/>
      <c r="G462" s="3"/>
      <c r="H462" s="3"/>
    </row>
    <row r="463">
      <c r="B463" s="396"/>
      <c r="C463" s="396"/>
      <c r="D463" s="396"/>
      <c r="E463" s="397"/>
      <c r="F463" s="3"/>
      <c r="G463" s="3"/>
      <c r="H463" s="3"/>
    </row>
    <row r="464">
      <c r="B464" s="396"/>
      <c r="C464" s="396"/>
      <c r="D464" s="396"/>
      <c r="E464" s="397"/>
      <c r="F464" s="3"/>
      <c r="G464" s="3"/>
      <c r="H464" s="3"/>
    </row>
    <row r="465">
      <c r="B465" s="396"/>
      <c r="C465" s="396"/>
      <c r="D465" s="396"/>
      <c r="E465" s="397"/>
      <c r="F465" s="3"/>
      <c r="G465" s="3"/>
      <c r="H465" s="3"/>
    </row>
    <row r="466">
      <c r="B466" s="396"/>
      <c r="C466" s="396"/>
      <c r="D466" s="396"/>
      <c r="E466" s="397"/>
      <c r="F466" s="3"/>
      <c r="G466" s="3"/>
      <c r="H466" s="3"/>
    </row>
    <row r="467">
      <c r="B467" s="396"/>
      <c r="C467" s="396"/>
      <c r="D467" s="396"/>
      <c r="E467" s="397"/>
      <c r="F467" s="3"/>
      <c r="G467" s="3"/>
      <c r="H467" s="3"/>
    </row>
    <row r="468">
      <c r="B468" s="396"/>
      <c r="C468" s="396"/>
      <c r="D468" s="396"/>
      <c r="E468" s="397"/>
      <c r="F468" s="3"/>
      <c r="G468" s="3"/>
      <c r="H468" s="3"/>
    </row>
    <row r="469">
      <c r="B469" s="396"/>
      <c r="C469" s="396"/>
      <c r="D469" s="396"/>
      <c r="E469" s="397"/>
      <c r="F469" s="3"/>
      <c r="G469" s="3"/>
      <c r="H469" s="3"/>
    </row>
    <row r="470">
      <c r="B470" s="396"/>
      <c r="C470" s="396"/>
      <c r="D470" s="396"/>
      <c r="E470" s="397"/>
      <c r="F470" s="3"/>
      <c r="G470" s="3"/>
      <c r="H470" s="3"/>
    </row>
    <row r="471">
      <c r="B471" s="396"/>
      <c r="C471" s="396"/>
      <c r="D471" s="396"/>
      <c r="E471" s="397"/>
      <c r="F471" s="3"/>
      <c r="G471" s="3"/>
      <c r="H471" s="3"/>
    </row>
    <row r="472">
      <c r="B472" s="396"/>
      <c r="C472" s="396"/>
      <c r="D472" s="396"/>
      <c r="E472" s="397"/>
      <c r="F472" s="3"/>
      <c r="G472" s="3"/>
      <c r="H472" s="3"/>
    </row>
    <row r="473">
      <c r="B473" s="396"/>
      <c r="C473" s="396"/>
      <c r="D473" s="396"/>
      <c r="E473" s="397"/>
      <c r="F473" s="3"/>
      <c r="G473" s="3"/>
      <c r="H473" s="3"/>
    </row>
    <row r="474">
      <c r="B474" s="396"/>
      <c r="C474" s="396"/>
      <c r="D474" s="396"/>
      <c r="E474" s="397"/>
      <c r="F474" s="3"/>
      <c r="G474" s="3"/>
      <c r="H474" s="3"/>
    </row>
    <row r="475">
      <c r="B475" s="396"/>
      <c r="C475" s="396"/>
      <c r="D475" s="396"/>
      <c r="E475" s="397"/>
      <c r="F475" s="3"/>
      <c r="G475" s="3"/>
      <c r="H475" s="3"/>
    </row>
    <row r="476">
      <c r="B476" s="396"/>
      <c r="C476" s="396"/>
      <c r="D476" s="396"/>
      <c r="E476" s="397"/>
      <c r="F476" s="3"/>
      <c r="G476" s="3"/>
      <c r="H476" s="3"/>
    </row>
    <row r="477">
      <c r="B477" s="396"/>
      <c r="C477" s="396"/>
      <c r="D477" s="396"/>
      <c r="E477" s="397"/>
      <c r="F477" s="3"/>
      <c r="G477" s="3"/>
      <c r="H477" s="3"/>
    </row>
    <row r="478">
      <c r="B478" s="396"/>
      <c r="C478" s="396"/>
      <c r="D478" s="396"/>
      <c r="E478" s="397"/>
      <c r="F478" s="3"/>
      <c r="G478" s="3"/>
      <c r="H478" s="3"/>
    </row>
    <row r="479">
      <c r="B479" s="396"/>
      <c r="C479" s="396"/>
      <c r="D479" s="396"/>
      <c r="E479" s="397"/>
      <c r="F479" s="3"/>
      <c r="G479" s="3"/>
      <c r="H479" s="3"/>
    </row>
    <row r="480">
      <c r="B480" s="396"/>
      <c r="C480" s="396"/>
      <c r="D480" s="396"/>
      <c r="E480" s="397"/>
      <c r="F480" s="3"/>
      <c r="G480" s="3"/>
      <c r="H480" s="3"/>
    </row>
    <row r="481">
      <c r="B481" s="396"/>
      <c r="C481" s="396"/>
      <c r="D481" s="396"/>
      <c r="E481" s="397"/>
      <c r="F481" s="3"/>
      <c r="G481" s="3"/>
      <c r="H481" s="3"/>
    </row>
    <row r="482">
      <c r="B482" s="396"/>
      <c r="C482" s="396"/>
      <c r="D482" s="396"/>
      <c r="E482" s="397"/>
      <c r="F482" s="3"/>
      <c r="G482" s="3"/>
      <c r="H482" s="3"/>
    </row>
    <row r="483">
      <c r="B483" s="396"/>
      <c r="C483" s="396"/>
      <c r="D483" s="396"/>
      <c r="E483" s="397"/>
      <c r="F483" s="3"/>
      <c r="G483" s="3"/>
      <c r="H483" s="3"/>
    </row>
    <row r="484">
      <c r="B484" s="396"/>
      <c r="C484" s="396"/>
      <c r="D484" s="396"/>
      <c r="E484" s="397"/>
      <c r="F484" s="3"/>
      <c r="G484" s="3"/>
      <c r="H484" s="3"/>
    </row>
    <row r="485">
      <c r="B485" s="396"/>
      <c r="C485" s="396"/>
      <c r="D485" s="396"/>
      <c r="E485" s="397"/>
      <c r="F485" s="3"/>
      <c r="G485" s="3"/>
      <c r="H485" s="3"/>
    </row>
    <row r="486">
      <c r="B486" s="396"/>
      <c r="C486" s="396"/>
      <c r="D486" s="396"/>
      <c r="E486" s="397"/>
      <c r="F486" s="3"/>
      <c r="G486" s="3"/>
      <c r="H486" s="3"/>
    </row>
    <row r="487">
      <c r="B487" s="396"/>
      <c r="C487" s="396"/>
      <c r="D487" s="396"/>
      <c r="E487" s="397"/>
      <c r="F487" s="3"/>
      <c r="G487" s="3"/>
      <c r="H487" s="3"/>
    </row>
    <row r="488">
      <c r="B488" s="396"/>
      <c r="C488" s="396"/>
      <c r="D488" s="396"/>
      <c r="E488" s="397"/>
      <c r="F488" s="3"/>
      <c r="G488" s="3"/>
      <c r="H488" s="3"/>
    </row>
    <row r="489">
      <c r="B489" s="396"/>
      <c r="C489" s="396"/>
      <c r="D489" s="396"/>
      <c r="E489" s="397"/>
      <c r="F489" s="3"/>
      <c r="G489" s="3"/>
      <c r="H489" s="3"/>
    </row>
    <row r="490">
      <c r="B490" s="396"/>
      <c r="C490" s="396"/>
      <c r="D490" s="396"/>
      <c r="E490" s="397"/>
      <c r="F490" s="3"/>
      <c r="G490" s="3"/>
      <c r="H490" s="3"/>
    </row>
    <row r="491">
      <c r="B491" s="396"/>
      <c r="C491" s="396"/>
      <c r="D491" s="396"/>
      <c r="E491" s="397"/>
      <c r="F491" s="3"/>
      <c r="G491" s="3"/>
      <c r="H491" s="3"/>
    </row>
    <row r="492">
      <c r="B492" s="396"/>
      <c r="C492" s="396"/>
      <c r="D492" s="396"/>
      <c r="E492" s="397"/>
      <c r="F492" s="3"/>
      <c r="G492" s="3"/>
      <c r="H492" s="3"/>
    </row>
    <row r="493">
      <c r="B493" s="396"/>
      <c r="C493" s="396"/>
      <c r="D493" s="396"/>
      <c r="E493" s="397"/>
      <c r="F493" s="3"/>
      <c r="G493" s="3"/>
      <c r="H493" s="3"/>
    </row>
    <row r="494">
      <c r="B494" s="396"/>
      <c r="C494" s="396"/>
      <c r="D494" s="396"/>
      <c r="E494" s="397"/>
      <c r="F494" s="3"/>
      <c r="G494" s="3"/>
      <c r="H494" s="3"/>
    </row>
    <row r="495">
      <c r="B495" s="396"/>
      <c r="C495" s="396"/>
      <c r="D495" s="396"/>
      <c r="E495" s="397"/>
      <c r="F495" s="3"/>
      <c r="G495" s="3"/>
      <c r="H495" s="3"/>
    </row>
    <row r="496">
      <c r="B496" s="396"/>
      <c r="C496" s="396"/>
      <c r="D496" s="396"/>
      <c r="E496" s="397"/>
      <c r="F496" s="3"/>
      <c r="G496" s="3"/>
      <c r="H496" s="3"/>
    </row>
    <row r="497">
      <c r="B497" s="396"/>
      <c r="C497" s="396"/>
      <c r="D497" s="396"/>
      <c r="E497" s="397"/>
      <c r="F497" s="3"/>
      <c r="G497" s="3"/>
      <c r="H497" s="3"/>
    </row>
    <row r="498">
      <c r="B498" s="396"/>
      <c r="C498" s="396"/>
      <c r="D498" s="396"/>
      <c r="E498" s="397"/>
      <c r="F498" s="3"/>
      <c r="G498" s="3"/>
      <c r="H498" s="3"/>
    </row>
    <row r="499">
      <c r="B499" s="396"/>
      <c r="C499" s="396"/>
      <c r="D499" s="396"/>
      <c r="E499" s="397"/>
      <c r="F499" s="3"/>
      <c r="G499" s="3"/>
      <c r="H499" s="3"/>
    </row>
    <row r="500">
      <c r="B500" s="396"/>
      <c r="C500" s="396"/>
      <c r="D500" s="396"/>
      <c r="E500" s="397"/>
      <c r="F500" s="3"/>
      <c r="G500" s="3"/>
      <c r="H500" s="3"/>
    </row>
    <row r="501">
      <c r="B501" s="396"/>
      <c r="C501" s="396"/>
      <c r="D501" s="396"/>
      <c r="E501" s="397"/>
      <c r="F501" s="3"/>
      <c r="G501" s="3"/>
      <c r="H501" s="3"/>
    </row>
    <row r="502">
      <c r="B502" s="396"/>
      <c r="C502" s="396"/>
      <c r="D502" s="396"/>
      <c r="E502" s="397"/>
      <c r="F502" s="3"/>
      <c r="G502" s="3"/>
      <c r="H502" s="3"/>
    </row>
    <row r="503">
      <c r="B503" s="396"/>
      <c r="C503" s="396"/>
      <c r="D503" s="396"/>
      <c r="E503" s="397"/>
      <c r="F503" s="3"/>
      <c r="G503" s="3"/>
      <c r="H503" s="3"/>
    </row>
    <row r="504">
      <c r="B504" s="396"/>
      <c r="C504" s="396"/>
      <c r="D504" s="396"/>
      <c r="E504" s="397"/>
      <c r="F504" s="3"/>
      <c r="G504" s="3"/>
      <c r="H504" s="3"/>
    </row>
    <row r="505">
      <c r="B505" s="396"/>
      <c r="C505" s="396"/>
      <c r="D505" s="396"/>
      <c r="E505" s="397"/>
      <c r="F505" s="3"/>
      <c r="G505" s="3"/>
      <c r="H505" s="3"/>
    </row>
    <row r="506">
      <c r="B506" s="396"/>
      <c r="C506" s="396"/>
      <c r="D506" s="396"/>
      <c r="E506" s="397"/>
      <c r="F506" s="3"/>
      <c r="G506" s="3"/>
      <c r="H506" s="3"/>
    </row>
    <row r="507">
      <c r="B507" s="396"/>
      <c r="C507" s="396"/>
      <c r="D507" s="396"/>
      <c r="E507" s="397"/>
      <c r="F507" s="3"/>
      <c r="G507" s="3"/>
      <c r="H507" s="3"/>
    </row>
    <row r="508">
      <c r="B508" s="396"/>
      <c r="C508" s="396"/>
      <c r="D508" s="396"/>
      <c r="E508" s="397"/>
      <c r="F508" s="3"/>
      <c r="G508" s="3"/>
      <c r="H508" s="3"/>
    </row>
    <row r="509">
      <c r="B509" s="396"/>
      <c r="C509" s="396"/>
      <c r="D509" s="396"/>
      <c r="E509" s="397"/>
      <c r="F509" s="3"/>
      <c r="G509" s="3"/>
      <c r="H509" s="3"/>
    </row>
    <row r="510">
      <c r="B510" s="396"/>
      <c r="C510" s="396"/>
      <c r="D510" s="396"/>
      <c r="E510" s="397"/>
      <c r="F510" s="3"/>
      <c r="G510" s="3"/>
      <c r="H510" s="3"/>
    </row>
    <row r="511">
      <c r="B511" s="396"/>
      <c r="C511" s="396"/>
      <c r="D511" s="396"/>
      <c r="E511" s="397"/>
      <c r="F511" s="3"/>
      <c r="G511" s="3"/>
      <c r="H511" s="3"/>
    </row>
    <row r="512">
      <c r="B512" s="396"/>
      <c r="C512" s="396"/>
      <c r="D512" s="396"/>
      <c r="E512" s="397"/>
      <c r="F512" s="3"/>
      <c r="G512" s="3"/>
      <c r="H512" s="3"/>
    </row>
    <row r="513">
      <c r="B513" s="396"/>
      <c r="C513" s="396"/>
      <c r="D513" s="396"/>
      <c r="E513" s="397"/>
      <c r="F513" s="3"/>
      <c r="G513" s="3"/>
      <c r="H513" s="3"/>
    </row>
    <row r="514">
      <c r="B514" s="396"/>
      <c r="C514" s="396"/>
      <c r="D514" s="396"/>
      <c r="E514" s="397"/>
      <c r="F514" s="3"/>
      <c r="G514" s="3"/>
      <c r="H514" s="3"/>
    </row>
    <row r="515">
      <c r="B515" s="396"/>
      <c r="C515" s="396"/>
      <c r="D515" s="396"/>
      <c r="E515" s="397"/>
      <c r="F515" s="3"/>
      <c r="G515" s="3"/>
      <c r="H515" s="3"/>
    </row>
    <row r="516">
      <c r="B516" s="396"/>
      <c r="C516" s="396"/>
      <c r="D516" s="396"/>
      <c r="E516" s="397"/>
      <c r="F516" s="3"/>
      <c r="G516" s="3"/>
      <c r="H516" s="3"/>
    </row>
    <row r="517">
      <c r="B517" s="396"/>
      <c r="C517" s="396"/>
      <c r="D517" s="396"/>
      <c r="E517" s="397"/>
      <c r="F517" s="3"/>
      <c r="G517" s="3"/>
      <c r="H517" s="3"/>
    </row>
    <row r="518">
      <c r="B518" s="396"/>
      <c r="C518" s="396"/>
      <c r="D518" s="396"/>
      <c r="E518" s="397"/>
      <c r="F518" s="3"/>
      <c r="G518" s="3"/>
      <c r="H518" s="3"/>
    </row>
    <row r="519">
      <c r="B519" s="396"/>
      <c r="C519" s="396"/>
      <c r="D519" s="396"/>
      <c r="E519" s="397"/>
      <c r="F519" s="3"/>
      <c r="G519" s="3"/>
      <c r="H519" s="3"/>
    </row>
    <row r="520">
      <c r="B520" s="396"/>
      <c r="C520" s="396"/>
      <c r="D520" s="396"/>
      <c r="E520" s="397"/>
      <c r="F520" s="3"/>
      <c r="G520" s="3"/>
      <c r="H520" s="3"/>
    </row>
    <row r="521">
      <c r="B521" s="396"/>
      <c r="C521" s="396"/>
      <c r="D521" s="396"/>
      <c r="E521" s="397"/>
      <c r="F521" s="3"/>
      <c r="G521" s="3"/>
      <c r="H521" s="3"/>
    </row>
    <row r="522">
      <c r="B522" s="396"/>
      <c r="C522" s="396"/>
      <c r="D522" s="396"/>
      <c r="E522" s="397"/>
      <c r="F522" s="3"/>
      <c r="G522" s="3"/>
      <c r="H522" s="3"/>
    </row>
    <row r="523">
      <c r="B523" s="396"/>
      <c r="C523" s="396"/>
      <c r="D523" s="396"/>
      <c r="E523" s="397"/>
      <c r="F523" s="3"/>
      <c r="G523" s="3"/>
      <c r="H523" s="3"/>
    </row>
    <row r="524">
      <c r="B524" s="396"/>
      <c r="C524" s="396"/>
      <c r="D524" s="396"/>
      <c r="E524" s="397"/>
      <c r="F524" s="3"/>
      <c r="G524" s="3"/>
      <c r="H524" s="3"/>
    </row>
    <row r="525">
      <c r="B525" s="396"/>
      <c r="C525" s="396"/>
      <c r="D525" s="396"/>
      <c r="E525" s="397"/>
      <c r="F525" s="3"/>
      <c r="G525" s="3"/>
      <c r="H525" s="3"/>
    </row>
    <row r="526">
      <c r="B526" s="396"/>
      <c r="C526" s="396"/>
      <c r="D526" s="396"/>
      <c r="E526" s="397"/>
      <c r="F526" s="3"/>
      <c r="G526" s="3"/>
      <c r="H526" s="3"/>
    </row>
    <row r="527">
      <c r="B527" s="396"/>
      <c r="C527" s="396"/>
      <c r="D527" s="396"/>
      <c r="E527" s="397"/>
      <c r="F527" s="3"/>
      <c r="G527" s="3"/>
      <c r="H527" s="3"/>
    </row>
    <row r="528">
      <c r="B528" s="396"/>
      <c r="C528" s="396"/>
      <c r="D528" s="396"/>
      <c r="E528" s="397"/>
      <c r="F528" s="3"/>
      <c r="G528" s="3"/>
      <c r="H528" s="3"/>
    </row>
    <row r="529">
      <c r="B529" s="396"/>
      <c r="C529" s="396"/>
      <c r="D529" s="396"/>
      <c r="E529" s="397"/>
      <c r="F529" s="3"/>
      <c r="G529" s="3"/>
      <c r="H529" s="3"/>
    </row>
    <row r="530">
      <c r="B530" s="396"/>
      <c r="C530" s="396"/>
      <c r="D530" s="396"/>
      <c r="E530" s="397"/>
      <c r="F530" s="3"/>
      <c r="G530" s="3"/>
      <c r="H530" s="3"/>
    </row>
    <row r="531">
      <c r="B531" s="396"/>
      <c r="C531" s="396"/>
      <c r="D531" s="396"/>
      <c r="E531" s="397"/>
      <c r="F531" s="3"/>
      <c r="G531" s="3"/>
      <c r="H531" s="3"/>
    </row>
    <row r="532">
      <c r="B532" s="396"/>
      <c r="C532" s="396"/>
      <c r="D532" s="396"/>
      <c r="E532" s="397"/>
      <c r="F532" s="3"/>
      <c r="G532" s="3"/>
      <c r="H532" s="3"/>
    </row>
    <row r="533">
      <c r="B533" s="396"/>
      <c r="C533" s="396"/>
      <c r="D533" s="396"/>
      <c r="E533" s="397"/>
      <c r="F533" s="3"/>
      <c r="G533" s="3"/>
      <c r="H533" s="3"/>
    </row>
    <row r="534">
      <c r="B534" s="396"/>
      <c r="C534" s="396"/>
      <c r="D534" s="396"/>
      <c r="E534" s="397"/>
      <c r="F534" s="3"/>
      <c r="G534" s="3"/>
      <c r="H534" s="3"/>
    </row>
    <row r="535">
      <c r="B535" s="396"/>
      <c r="C535" s="396"/>
      <c r="D535" s="396"/>
      <c r="E535" s="397"/>
      <c r="F535" s="3"/>
      <c r="G535" s="3"/>
      <c r="H535" s="3"/>
    </row>
    <row r="536">
      <c r="B536" s="396"/>
      <c r="C536" s="396"/>
      <c r="D536" s="396"/>
      <c r="E536" s="397"/>
      <c r="F536" s="3"/>
      <c r="G536" s="3"/>
      <c r="H536" s="3"/>
    </row>
    <row r="537">
      <c r="B537" s="396"/>
      <c r="C537" s="396"/>
      <c r="D537" s="396"/>
      <c r="E537" s="397"/>
      <c r="F537" s="3"/>
      <c r="G537" s="3"/>
      <c r="H537" s="3"/>
    </row>
    <row r="538">
      <c r="B538" s="396"/>
      <c r="C538" s="396"/>
      <c r="D538" s="396"/>
      <c r="E538" s="397"/>
      <c r="F538" s="3"/>
      <c r="G538" s="3"/>
      <c r="H538" s="3"/>
    </row>
    <row r="539">
      <c r="B539" s="396"/>
      <c r="C539" s="396"/>
      <c r="D539" s="396"/>
      <c r="E539" s="397"/>
      <c r="F539" s="3"/>
      <c r="G539" s="3"/>
      <c r="H539" s="3"/>
    </row>
    <row r="540">
      <c r="B540" s="396"/>
      <c r="C540" s="396"/>
      <c r="D540" s="396"/>
      <c r="E540" s="397"/>
      <c r="F540" s="3"/>
      <c r="G540" s="3"/>
      <c r="H540" s="3"/>
    </row>
    <row r="541">
      <c r="B541" s="396"/>
      <c r="C541" s="396"/>
      <c r="D541" s="396"/>
      <c r="E541" s="397"/>
      <c r="F541" s="3"/>
      <c r="G541" s="3"/>
      <c r="H541" s="3"/>
    </row>
    <row r="542">
      <c r="B542" s="396"/>
      <c r="C542" s="396"/>
      <c r="D542" s="396"/>
      <c r="E542" s="397"/>
      <c r="F542" s="3"/>
      <c r="G542" s="3"/>
      <c r="H542" s="3"/>
    </row>
    <row r="543">
      <c r="B543" s="396"/>
      <c r="C543" s="396"/>
      <c r="D543" s="396"/>
      <c r="E543" s="397"/>
      <c r="F543" s="3"/>
      <c r="G543" s="3"/>
      <c r="H543" s="3"/>
    </row>
    <row r="544">
      <c r="B544" s="396"/>
      <c r="C544" s="396"/>
      <c r="D544" s="396"/>
      <c r="E544" s="397"/>
      <c r="F544" s="3"/>
      <c r="G544" s="3"/>
      <c r="H544" s="3"/>
    </row>
    <row r="545">
      <c r="B545" s="396"/>
      <c r="C545" s="396"/>
      <c r="D545" s="396"/>
      <c r="E545" s="397"/>
      <c r="F545" s="3"/>
      <c r="G545" s="3"/>
      <c r="H545" s="3"/>
    </row>
    <row r="546">
      <c r="B546" s="396"/>
      <c r="C546" s="396"/>
      <c r="D546" s="396"/>
      <c r="E546" s="397"/>
      <c r="F546" s="3"/>
      <c r="G546" s="3"/>
      <c r="H546" s="3"/>
    </row>
    <row r="547">
      <c r="B547" s="396"/>
      <c r="C547" s="396"/>
      <c r="D547" s="396"/>
      <c r="E547" s="397"/>
      <c r="F547" s="3"/>
      <c r="G547" s="3"/>
      <c r="H547" s="3"/>
    </row>
    <row r="548">
      <c r="B548" s="396"/>
      <c r="C548" s="396"/>
      <c r="D548" s="396"/>
      <c r="E548" s="397"/>
      <c r="F548" s="3"/>
      <c r="G548" s="3"/>
      <c r="H548" s="3"/>
    </row>
    <row r="549">
      <c r="B549" s="396"/>
      <c r="C549" s="396"/>
      <c r="D549" s="396"/>
      <c r="E549" s="397"/>
      <c r="F549" s="3"/>
      <c r="G549" s="3"/>
      <c r="H549" s="3"/>
    </row>
    <row r="550">
      <c r="B550" s="396"/>
      <c r="C550" s="396"/>
      <c r="D550" s="396"/>
      <c r="E550" s="397"/>
      <c r="F550" s="3"/>
      <c r="G550" s="3"/>
      <c r="H550" s="3"/>
    </row>
    <row r="551">
      <c r="B551" s="396"/>
      <c r="C551" s="396"/>
      <c r="D551" s="396"/>
      <c r="E551" s="397"/>
      <c r="F551" s="3"/>
      <c r="G551" s="3"/>
      <c r="H551" s="3"/>
    </row>
    <row r="552">
      <c r="B552" s="396"/>
      <c r="C552" s="396"/>
      <c r="D552" s="396"/>
      <c r="E552" s="397"/>
      <c r="F552" s="3"/>
      <c r="G552" s="3"/>
      <c r="H552" s="3"/>
    </row>
    <row r="553">
      <c r="B553" s="396"/>
      <c r="C553" s="396"/>
      <c r="D553" s="396"/>
      <c r="E553" s="397"/>
      <c r="F553" s="3"/>
      <c r="G553" s="3"/>
      <c r="H553" s="3"/>
    </row>
    <row r="554">
      <c r="B554" s="396"/>
      <c r="C554" s="396"/>
      <c r="D554" s="396"/>
      <c r="E554" s="397"/>
      <c r="F554" s="3"/>
      <c r="G554" s="3"/>
      <c r="H554" s="3"/>
    </row>
    <row r="555">
      <c r="B555" s="396"/>
      <c r="C555" s="396"/>
      <c r="D555" s="396"/>
      <c r="E555" s="397"/>
      <c r="F555" s="3"/>
      <c r="G555" s="3"/>
      <c r="H555" s="3"/>
    </row>
    <row r="556">
      <c r="B556" s="396"/>
      <c r="C556" s="396"/>
      <c r="D556" s="396"/>
      <c r="E556" s="397"/>
      <c r="F556" s="3"/>
      <c r="G556" s="3"/>
      <c r="H556" s="3"/>
    </row>
    <row r="557">
      <c r="B557" s="396"/>
      <c r="C557" s="396"/>
      <c r="D557" s="396"/>
      <c r="E557" s="397"/>
      <c r="F557" s="3"/>
      <c r="G557" s="3"/>
      <c r="H557" s="3"/>
    </row>
    <row r="558">
      <c r="B558" s="396"/>
      <c r="C558" s="396"/>
      <c r="D558" s="396"/>
      <c r="E558" s="397"/>
      <c r="F558" s="3"/>
      <c r="G558" s="3"/>
      <c r="H558" s="3"/>
    </row>
    <row r="559">
      <c r="B559" s="396"/>
      <c r="C559" s="396"/>
      <c r="D559" s="396"/>
      <c r="E559" s="397"/>
      <c r="F559" s="3"/>
      <c r="G559" s="3"/>
      <c r="H559" s="3"/>
    </row>
    <row r="560">
      <c r="B560" s="396"/>
      <c r="C560" s="396"/>
      <c r="D560" s="396"/>
      <c r="E560" s="397"/>
      <c r="F560" s="3"/>
      <c r="G560" s="3"/>
      <c r="H560" s="3"/>
    </row>
    <row r="561">
      <c r="B561" s="396"/>
      <c r="C561" s="396"/>
      <c r="D561" s="396"/>
      <c r="E561" s="397"/>
      <c r="F561" s="3"/>
      <c r="G561" s="3"/>
      <c r="H561" s="3"/>
    </row>
    <row r="562">
      <c r="B562" s="396"/>
      <c r="C562" s="396"/>
      <c r="D562" s="396"/>
      <c r="E562" s="397"/>
      <c r="F562" s="3"/>
      <c r="G562" s="3"/>
      <c r="H562" s="3"/>
    </row>
    <row r="563">
      <c r="B563" s="396"/>
      <c r="C563" s="396"/>
      <c r="D563" s="396"/>
      <c r="E563" s="397"/>
      <c r="F563" s="3"/>
      <c r="G563" s="3"/>
      <c r="H563" s="3"/>
    </row>
    <row r="564">
      <c r="B564" s="396"/>
      <c r="C564" s="396"/>
      <c r="D564" s="396"/>
      <c r="E564" s="397"/>
      <c r="F564" s="3"/>
      <c r="G564" s="3"/>
      <c r="H564" s="3"/>
    </row>
    <row r="565">
      <c r="B565" s="396"/>
      <c r="C565" s="396"/>
      <c r="D565" s="396"/>
      <c r="E565" s="397"/>
      <c r="F565" s="3"/>
      <c r="G565" s="3"/>
      <c r="H565" s="3"/>
    </row>
    <row r="566">
      <c r="B566" s="396"/>
      <c r="C566" s="396"/>
      <c r="D566" s="396"/>
      <c r="E566" s="397"/>
      <c r="F566" s="3"/>
      <c r="G566" s="3"/>
      <c r="H566" s="3"/>
    </row>
    <row r="567">
      <c r="B567" s="396"/>
      <c r="C567" s="396"/>
      <c r="D567" s="396"/>
      <c r="E567" s="397"/>
      <c r="F567" s="3"/>
      <c r="G567" s="3"/>
      <c r="H567" s="3"/>
    </row>
    <row r="568">
      <c r="B568" s="396"/>
      <c r="C568" s="396"/>
      <c r="D568" s="396"/>
      <c r="E568" s="397"/>
      <c r="F568" s="3"/>
      <c r="G568" s="3"/>
      <c r="H568" s="3"/>
    </row>
    <row r="569">
      <c r="B569" s="396"/>
      <c r="C569" s="396"/>
      <c r="D569" s="396"/>
      <c r="E569" s="397"/>
      <c r="F569" s="3"/>
      <c r="G569" s="3"/>
      <c r="H569" s="3"/>
    </row>
    <row r="570">
      <c r="B570" s="396"/>
      <c r="C570" s="396"/>
      <c r="D570" s="396"/>
      <c r="E570" s="397"/>
      <c r="F570" s="3"/>
      <c r="G570" s="3"/>
      <c r="H570" s="3"/>
    </row>
    <row r="571">
      <c r="B571" s="396"/>
      <c r="C571" s="396"/>
      <c r="D571" s="396"/>
      <c r="E571" s="397"/>
      <c r="F571" s="3"/>
      <c r="G571" s="3"/>
      <c r="H571" s="3"/>
    </row>
    <row r="572">
      <c r="B572" s="396"/>
      <c r="C572" s="396"/>
      <c r="D572" s="396"/>
      <c r="E572" s="397"/>
      <c r="F572" s="3"/>
      <c r="G572" s="3"/>
      <c r="H572" s="3"/>
    </row>
    <row r="573">
      <c r="B573" s="396"/>
      <c r="C573" s="396"/>
      <c r="D573" s="396"/>
      <c r="E573" s="397"/>
      <c r="F573" s="3"/>
      <c r="G573" s="3"/>
      <c r="H573" s="3"/>
    </row>
    <row r="574">
      <c r="B574" s="396"/>
      <c r="C574" s="396"/>
      <c r="D574" s="396"/>
      <c r="E574" s="397"/>
      <c r="F574" s="3"/>
      <c r="G574" s="3"/>
      <c r="H574" s="3"/>
    </row>
    <row r="575">
      <c r="B575" s="396"/>
      <c r="C575" s="396"/>
      <c r="D575" s="396"/>
      <c r="E575" s="397"/>
      <c r="F575" s="3"/>
      <c r="G575" s="3"/>
      <c r="H575" s="3"/>
    </row>
    <row r="576">
      <c r="B576" s="396"/>
      <c r="C576" s="396"/>
      <c r="D576" s="396"/>
      <c r="E576" s="397"/>
      <c r="F576" s="3"/>
      <c r="G576" s="3"/>
      <c r="H576" s="3"/>
    </row>
    <row r="577">
      <c r="B577" s="396"/>
      <c r="C577" s="396"/>
      <c r="D577" s="396"/>
      <c r="E577" s="397"/>
      <c r="F577" s="3"/>
      <c r="G577" s="3"/>
      <c r="H577" s="3"/>
    </row>
    <row r="578">
      <c r="B578" s="396"/>
      <c r="C578" s="396"/>
      <c r="D578" s="396"/>
      <c r="E578" s="397"/>
      <c r="F578" s="3"/>
      <c r="G578" s="3"/>
      <c r="H578" s="3"/>
    </row>
    <row r="579">
      <c r="B579" s="396"/>
      <c r="C579" s="396"/>
      <c r="D579" s="396"/>
      <c r="E579" s="397"/>
      <c r="F579" s="3"/>
      <c r="G579" s="3"/>
      <c r="H579" s="3"/>
    </row>
    <row r="580">
      <c r="B580" s="396"/>
      <c r="C580" s="396"/>
      <c r="D580" s="396"/>
      <c r="E580" s="397"/>
      <c r="F580" s="3"/>
      <c r="G580" s="3"/>
      <c r="H580" s="3"/>
    </row>
    <row r="581">
      <c r="B581" s="396"/>
      <c r="C581" s="396"/>
      <c r="D581" s="396"/>
      <c r="E581" s="397"/>
      <c r="F581" s="3"/>
      <c r="G581" s="3"/>
      <c r="H581" s="3"/>
    </row>
    <row r="582">
      <c r="B582" s="396"/>
      <c r="C582" s="396"/>
      <c r="D582" s="396"/>
      <c r="E582" s="397"/>
      <c r="F582" s="3"/>
      <c r="G582" s="3"/>
      <c r="H582" s="3"/>
    </row>
    <row r="583">
      <c r="B583" s="396"/>
      <c r="C583" s="396"/>
      <c r="D583" s="396"/>
      <c r="E583" s="397"/>
      <c r="F583" s="3"/>
      <c r="G583" s="3"/>
      <c r="H583" s="3"/>
    </row>
    <row r="584">
      <c r="B584" s="396"/>
      <c r="C584" s="396"/>
      <c r="D584" s="396"/>
      <c r="E584" s="397"/>
      <c r="F584" s="3"/>
      <c r="G584" s="3"/>
      <c r="H584" s="3"/>
    </row>
    <row r="585">
      <c r="B585" s="396"/>
      <c r="C585" s="396"/>
      <c r="D585" s="396"/>
      <c r="E585" s="397"/>
      <c r="F585" s="3"/>
      <c r="G585" s="3"/>
      <c r="H585" s="3"/>
    </row>
    <row r="586">
      <c r="B586" s="396"/>
      <c r="C586" s="396"/>
      <c r="D586" s="396"/>
      <c r="E586" s="397"/>
      <c r="F586" s="3"/>
      <c r="G586" s="3"/>
      <c r="H586" s="3"/>
    </row>
    <row r="587">
      <c r="B587" s="396"/>
      <c r="C587" s="396"/>
      <c r="D587" s="396"/>
      <c r="E587" s="397"/>
      <c r="F587" s="3"/>
      <c r="G587" s="3"/>
      <c r="H587" s="3"/>
    </row>
    <row r="588">
      <c r="B588" s="396"/>
      <c r="C588" s="396"/>
      <c r="D588" s="396"/>
      <c r="E588" s="397"/>
      <c r="F588" s="3"/>
      <c r="G588" s="3"/>
      <c r="H588" s="3"/>
    </row>
    <row r="589">
      <c r="B589" s="396"/>
      <c r="C589" s="396"/>
      <c r="D589" s="396"/>
      <c r="E589" s="397"/>
      <c r="F589" s="3"/>
      <c r="G589" s="3"/>
      <c r="H589" s="3"/>
    </row>
    <row r="590">
      <c r="B590" s="396"/>
      <c r="C590" s="396"/>
      <c r="D590" s="396"/>
      <c r="E590" s="397"/>
      <c r="F590" s="3"/>
      <c r="G590" s="3"/>
      <c r="H590" s="3"/>
    </row>
    <row r="591">
      <c r="B591" s="396"/>
      <c r="C591" s="396"/>
      <c r="D591" s="396"/>
      <c r="E591" s="397"/>
      <c r="F591" s="3"/>
      <c r="G591" s="3"/>
      <c r="H591" s="3"/>
    </row>
    <row r="592">
      <c r="B592" s="396"/>
      <c r="C592" s="396"/>
      <c r="D592" s="396"/>
      <c r="E592" s="397"/>
      <c r="F592" s="3"/>
      <c r="G592" s="3"/>
      <c r="H592" s="3"/>
    </row>
    <row r="593">
      <c r="B593" s="396"/>
      <c r="C593" s="396"/>
      <c r="D593" s="396"/>
      <c r="E593" s="397"/>
      <c r="F593" s="3"/>
      <c r="G593" s="3"/>
      <c r="H593" s="3"/>
    </row>
    <row r="594">
      <c r="B594" s="396"/>
      <c r="C594" s="396"/>
      <c r="D594" s="396"/>
      <c r="E594" s="397"/>
      <c r="F594" s="3"/>
      <c r="G594" s="3"/>
      <c r="H594" s="3"/>
    </row>
    <row r="595">
      <c r="B595" s="396"/>
      <c r="C595" s="396"/>
      <c r="D595" s="396"/>
      <c r="E595" s="397"/>
      <c r="F595" s="3"/>
      <c r="G595" s="3"/>
      <c r="H595" s="3"/>
    </row>
    <row r="596">
      <c r="B596" s="396"/>
      <c r="C596" s="396"/>
      <c r="D596" s="396"/>
      <c r="E596" s="397"/>
      <c r="F596" s="3"/>
      <c r="G596" s="3"/>
      <c r="H596" s="3"/>
    </row>
    <row r="597">
      <c r="B597" s="396"/>
      <c r="C597" s="396"/>
      <c r="D597" s="396"/>
      <c r="E597" s="397"/>
      <c r="F597" s="3"/>
      <c r="G597" s="3"/>
      <c r="H597" s="3"/>
    </row>
    <row r="598">
      <c r="B598" s="396"/>
      <c r="C598" s="396"/>
      <c r="D598" s="396"/>
      <c r="E598" s="397"/>
      <c r="F598" s="3"/>
      <c r="G598" s="3"/>
      <c r="H598" s="3"/>
    </row>
    <row r="599">
      <c r="B599" s="396"/>
      <c r="C599" s="396"/>
      <c r="D599" s="396"/>
      <c r="E599" s="397"/>
      <c r="F599" s="3"/>
      <c r="G599" s="3"/>
      <c r="H599" s="3"/>
    </row>
    <row r="600">
      <c r="B600" s="396"/>
      <c r="C600" s="396"/>
      <c r="D600" s="396"/>
      <c r="E600" s="397"/>
      <c r="F600" s="3"/>
      <c r="G600" s="3"/>
      <c r="H600" s="3"/>
    </row>
    <row r="601">
      <c r="B601" s="396"/>
      <c r="C601" s="396"/>
      <c r="D601" s="396"/>
      <c r="E601" s="397"/>
      <c r="F601" s="3"/>
      <c r="G601" s="3"/>
      <c r="H601" s="3"/>
    </row>
    <row r="602">
      <c r="B602" s="396"/>
      <c r="C602" s="396"/>
      <c r="D602" s="396"/>
      <c r="E602" s="397"/>
      <c r="F602" s="3"/>
      <c r="G602" s="3"/>
      <c r="H602" s="3"/>
    </row>
    <row r="603">
      <c r="B603" s="396"/>
      <c r="C603" s="396"/>
      <c r="D603" s="396"/>
      <c r="E603" s="397"/>
      <c r="F603" s="3"/>
      <c r="G603" s="3"/>
      <c r="H603" s="3"/>
    </row>
    <row r="604">
      <c r="B604" s="396"/>
      <c r="C604" s="396"/>
      <c r="D604" s="396"/>
      <c r="E604" s="397"/>
      <c r="F604" s="3"/>
      <c r="G604" s="3"/>
      <c r="H604" s="3"/>
    </row>
    <row r="605">
      <c r="B605" s="396"/>
      <c r="C605" s="396"/>
      <c r="D605" s="396"/>
      <c r="E605" s="397"/>
      <c r="F605" s="3"/>
      <c r="G605" s="3"/>
      <c r="H605" s="3"/>
    </row>
    <row r="606">
      <c r="B606" s="396"/>
      <c r="C606" s="396"/>
      <c r="D606" s="396"/>
      <c r="E606" s="397"/>
      <c r="F606" s="3"/>
      <c r="G606" s="3"/>
      <c r="H606" s="3"/>
    </row>
    <row r="607">
      <c r="B607" s="396"/>
      <c r="C607" s="396"/>
      <c r="D607" s="396"/>
      <c r="E607" s="397"/>
      <c r="F607" s="3"/>
      <c r="G607" s="3"/>
      <c r="H607" s="3"/>
    </row>
    <row r="608">
      <c r="B608" s="396"/>
      <c r="C608" s="396"/>
      <c r="D608" s="396"/>
      <c r="E608" s="397"/>
      <c r="F608" s="3"/>
      <c r="G608" s="3"/>
      <c r="H608" s="3"/>
    </row>
    <row r="609">
      <c r="B609" s="396"/>
      <c r="C609" s="396"/>
      <c r="D609" s="396"/>
      <c r="E609" s="397"/>
      <c r="F609" s="3"/>
      <c r="G609" s="3"/>
      <c r="H609" s="3"/>
    </row>
    <row r="610">
      <c r="B610" s="396"/>
      <c r="C610" s="396"/>
      <c r="D610" s="396"/>
      <c r="E610" s="397"/>
      <c r="F610" s="3"/>
      <c r="G610" s="3"/>
      <c r="H610" s="3"/>
    </row>
    <row r="611">
      <c r="B611" s="396"/>
      <c r="C611" s="396"/>
      <c r="D611" s="396"/>
      <c r="E611" s="397"/>
      <c r="F611" s="3"/>
      <c r="G611" s="3"/>
      <c r="H611" s="3"/>
    </row>
    <row r="612">
      <c r="B612" s="396"/>
      <c r="C612" s="396"/>
      <c r="D612" s="396"/>
      <c r="E612" s="397"/>
      <c r="F612" s="3"/>
      <c r="G612" s="3"/>
      <c r="H612" s="3"/>
    </row>
    <row r="613">
      <c r="B613" s="396"/>
      <c r="C613" s="396"/>
      <c r="D613" s="396"/>
      <c r="E613" s="397"/>
      <c r="F613" s="3"/>
      <c r="G613" s="3"/>
      <c r="H613" s="3"/>
    </row>
    <row r="614">
      <c r="B614" s="396"/>
      <c r="C614" s="396"/>
      <c r="D614" s="396"/>
      <c r="E614" s="397"/>
      <c r="F614" s="3"/>
      <c r="G614" s="3"/>
      <c r="H614" s="3"/>
    </row>
    <row r="615">
      <c r="B615" s="396"/>
      <c r="C615" s="396"/>
      <c r="D615" s="396"/>
      <c r="E615" s="397"/>
      <c r="F615" s="3"/>
      <c r="G615" s="3"/>
      <c r="H615" s="3"/>
    </row>
    <row r="616">
      <c r="B616" s="396"/>
      <c r="C616" s="396"/>
      <c r="D616" s="396"/>
      <c r="E616" s="397"/>
      <c r="F616" s="3"/>
      <c r="G616" s="3"/>
      <c r="H616" s="3"/>
    </row>
    <row r="617">
      <c r="B617" s="396"/>
      <c r="C617" s="396"/>
      <c r="D617" s="396"/>
      <c r="E617" s="397"/>
      <c r="F617" s="3"/>
      <c r="G617" s="3"/>
      <c r="H617" s="3"/>
    </row>
    <row r="618">
      <c r="B618" s="396"/>
      <c r="C618" s="396"/>
      <c r="D618" s="396"/>
      <c r="E618" s="397"/>
      <c r="F618" s="3"/>
      <c r="G618" s="3"/>
      <c r="H618" s="3"/>
    </row>
    <row r="619">
      <c r="B619" s="396"/>
      <c r="C619" s="396"/>
      <c r="D619" s="396"/>
      <c r="E619" s="397"/>
      <c r="F619" s="3"/>
      <c r="G619" s="3"/>
      <c r="H619" s="3"/>
    </row>
    <row r="620">
      <c r="B620" s="396"/>
      <c r="C620" s="396"/>
      <c r="D620" s="396"/>
      <c r="E620" s="397"/>
      <c r="F620" s="3"/>
      <c r="G620" s="3"/>
      <c r="H620" s="3"/>
    </row>
    <row r="621">
      <c r="B621" s="396"/>
      <c r="C621" s="396"/>
      <c r="D621" s="396"/>
      <c r="E621" s="397"/>
      <c r="F621" s="3"/>
      <c r="G621" s="3"/>
      <c r="H621" s="3"/>
    </row>
    <row r="622">
      <c r="B622" s="396"/>
      <c r="C622" s="396"/>
      <c r="D622" s="396"/>
      <c r="E622" s="397"/>
      <c r="F622" s="3"/>
      <c r="G622" s="3"/>
      <c r="H622" s="3"/>
    </row>
    <row r="623">
      <c r="B623" s="396"/>
      <c r="C623" s="396"/>
      <c r="D623" s="396"/>
      <c r="E623" s="397"/>
      <c r="F623" s="3"/>
      <c r="G623" s="3"/>
      <c r="H623" s="3"/>
    </row>
    <row r="624">
      <c r="B624" s="396"/>
      <c r="C624" s="396"/>
      <c r="D624" s="396"/>
      <c r="E624" s="397"/>
      <c r="F624" s="3"/>
      <c r="G624" s="3"/>
      <c r="H624" s="3"/>
    </row>
    <row r="625">
      <c r="B625" s="396"/>
      <c r="C625" s="396"/>
      <c r="D625" s="396"/>
      <c r="E625" s="397"/>
      <c r="F625" s="3"/>
      <c r="G625" s="3"/>
      <c r="H625" s="3"/>
    </row>
    <row r="626">
      <c r="B626" s="396"/>
      <c r="C626" s="396"/>
      <c r="D626" s="396"/>
      <c r="E626" s="397"/>
      <c r="F626" s="3"/>
      <c r="G626" s="3"/>
      <c r="H626" s="3"/>
    </row>
    <row r="627">
      <c r="B627" s="396"/>
      <c r="C627" s="396"/>
      <c r="D627" s="396"/>
      <c r="E627" s="397"/>
      <c r="F627" s="3"/>
      <c r="G627" s="3"/>
      <c r="H627" s="3"/>
    </row>
    <row r="628">
      <c r="B628" s="396"/>
      <c r="C628" s="396"/>
      <c r="D628" s="396"/>
      <c r="E628" s="397"/>
      <c r="F628" s="3"/>
      <c r="G628" s="3"/>
      <c r="H628" s="3"/>
    </row>
    <row r="629">
      <c r="B629" s="396"/>
      <c r="C629" s="396"/>
      <c r="D629" s="396"/>
      <c r="E629" s="397"/>
      <c r="F629" s="3"/>
      <c r="G629" s="3"/>
      <c r="H629" s="3"/>
    </row>
    <row r="630">
      <c r="B630" s="396"/>
      <c r="C630" s="396"/>
      <c r="D630" s="396"/>
      <c r="E630" s="397"/>
      <c r="F630" s="3"/>
      <c r="G630" s="3"/>
      <c r="H630" s="3"/>
    </row>
    <row r="631">
      <c r="B631" s="396"/>
      <c r="C631" s="396"/>
      <c r="D631" s="396"/>
      <c r="E631" s="397"/>
      <c r="F631" s="3"/>
      <c r="G631" s="3"/>
      <c r="H631" s="3"/>
    </row>
    <row r="632">
      <c r="B632" s="396"/>
      <c r="C632" s="396"/>
      <c r="D632" s="396"/>
      <c r="E632" s="397"/>
      <c r="F632" s="3"/>
      <c r="G632" s="3"/>
      <c r="H632" s="3"/>
    </row>
    <row r="633">
      <c r="B633" s="396"/>
      <c r="C633" s="396"/>
      <c r="D633" s="396"/>
      <c r="E633" s="397"/>
      <c r="F633" s="3"/>
      <c r="G633" s="3"/>
      <c r="H633" s="3"/>
    </row>
    <row r="634">
      <c r="B634" s="396"/>
      <c r="C634" s="396"/>
      <c r="D634" s="396"/>
      <c r="E634" s="397"/>
      <c r="F634" s="3"/>
      <c r="G634" s="3"/>
      <c r="H634" s="3"/>
    </row>
    <row r="635">
      <c r="B635" s="396"/>
      <c r="C635" s="396"/>
      <c r="D635" s="396"/>
      <c r="E635" s="397"/>
      <c r="F635" s="3"/>
      <c r="G635" s="3"/>
      <c r="H635" s="3"/>
    </row>
    <row r="636">
      <c r="B636" s="396"/>
      <c r="C636" s="396"/>
      <c r="D636" s="396"/>
      <c r="E636" s="397"/>
      <c r="F636" s="3"/>
      <c r="G636" s="3"/>
      <c r="H636" s="3"/>
    </row>
    <row r="637">
      <c r="B637" s="396"/>
      <c r="C637" s="396"/>
      <c r="D637" s="396"/>
      <c r="E637" s="397"/>
      <c r="F637" s="3"/>
      <c r="G637" s="3"/>
      <c r="H637" s="3"/>
    </row>
    <row r="638">
      <c r="B638" s="396"/>
      <c r="C638" s="396"/>
      <c r="D638" s="396"/>
      <c r="E638" s="397"/>
      <c r="F638" s="3"/>
      <c r="G638" s="3"/>
      <c r="H638" s="3"/>
    </row>
    <row r="639">
      <c r="B639" s="396"/>
      <c r="C639" s="396"/>
      <c r="D639" s="396"/>
      <c r="E639" s="397"/>
      <c r="F639" s="3"/>
      <c r="G639" s="3"/>
      <c r="H639" s="3"/>
    </row>
    <row r="640">
      <c r="B640" s="396"/>
      <c r="C640" s="396"/>
      <c r="D640" s="396"/>
      <c r="E640" s="397"/>
      <c r="F640" s="3"/>
      <c r="G640" s="3"/>
      <c r="H640" s="3"/>
    </row>
    <row r="641">
      <c r="B641" s="396"/>
      <c r="C641" s="396"/>
      <c r="D641" s="396"/>
      <c r="E641" s="397"/>
      <c r="F641" s="3"/>
      <c r="G641" s="3"/>
      <c r="H641" s="3"/>
    </row>
    <row r="642">
      <c r="B642" s="396"/>
      <c r="C642" s="396"/>
      <c r="D642" s="396"/>
      <c r="E642" s="397"/>
      <c r="F642" s="3"/>
      <c r="G642" s="3"/>
      <c r="H642" s="3"/>
    </row>
    <row r="643">
      <c r="B643" s="396"/>
      <c r="C643" s="396"/>
      <c r="D643" s="396"/>
      <c r="E643" s="397"/>
      <c r="F643" s="3"/>
      <c r="G643" s="3"/>
      <c r="H643" s="3"/>
    </row>
    <row r="644">
      <c r="B644" s="396"/>
      <c r="C644" s="396"/>
      <c r="D644" s="396"/>
      <c r="E644" s="397"/>
      <c r="F644" s="3"/>
      <c r="G644" s="3"/>
      <c r="H644" s="3"/>
    </row>
    <row r="645">
      <c r="B645" s="396"/>
      <c r="C645" s="396"/>
      <c r="D645" s="396"/>
      <c r="E645" s="397"/>
      <c r="F645" s="3"/>
      <c r="G645" s="3"/>
      <c r="H645" s="3"/>
    </row>
    <row r="646">
      <c r="B646" s="396"/>
      <c r="C646" s="396"/>
      <c r="D646" s="396"/>
      <c r="E646" s="397"/>
      <c r="F646" s="3"/>
      <c r="G646" s="3"/>
      <c r="H646" s="3"/>
    </row>
    <row r="647">
      <c r="B647" s="396"/>
      <c r="C647" s="396"/>
      <c r="D647" s="396"/>
      <c r="E647" s="397"/>
      <c r="F647" s="3"/>
      <c r="G647" s="3"/>
      <c r="H647" s="3"/>
    </row>
    <row r="648">
      <c r="B648" s="396"/>
      <c r="C648" s="396"/>
      <c r="D648" s="396"/>
      <c r="E648" s="397"/>
      <c r="F648" s="3"/>
      <c r="G648" s="3"/>
      <c r="H648" s="3"/>
    </row>
    <row r="649">
      <c r="B649" s="396"/>
      <c r="C649" s="396"/>
      <c r="D649" s="396"/>
      <c r="E649" s="397"/>
      <c r="F649" s="3"/>
      <c r="G649" s="3"/>
      <c r="H649" s="3"/>
    </row>
    <row r="650">
      <c r="B650" s="396"/>
      <c r="C650" s="396"/>
      <c r="D650" s="396"/>
      <c r="E650" s="397"/>
      <c r="F650" s="3"/>
      <c r="G650" s="3"/>
      <c r="H650" s="3"/>
    </row>
    <row r="651">
      <c r="B651" s="396"/>
      <c r="C651" s="396"/>
      <c r="D651" s="396"/>
      <c r="E651" s="397"/>
      <c r="F651" s="3"/>
      <c r="G651" s="3"/>
      <c r="H651" s="3"/>
    </row>
    <row r="652">
      <c r="B652" s="396"/>
      <c r="C652" s="396"/>
      <c r="D652" s="396"/>
      <c r="E652" s="397"/>
      <c r="F652" s="3"/>
      <c r="G652" s="3"/>
      <c r="H652" s="3"/>
    </row>
    <row r="653">
      <c r="B653" s="396"/>
      <c r="C653" s="396"/>
      <c r="D653" s="396"/>
      <c r="E653" s="397"/>
      <c r="F653" s="3"/>
      <c r="G653" s="3"/>
      <c r="H653" s="3"/>
    </row>
    <row r="654">
      <c r="B654" s="396"/>
      <c r="C654" s="396"/>
      <c r="D654" s="396"/>
      <c r="E654" s="397"/>
      <c r="F654" s="3"/>
      <c r="G654" s="3"/>
      <c r="H654" s="3"/>
    </row>
    <row r="655">
      <c r="B655" s="396"/>
      <c r="C655" s="396"/>
      <c r="D655" s="396"/>
      <c r="E655" s="397"/>
      <c r="F655" s="3"/>
      <c r="G655" s="3"/>
      <c r="H655" s="3"/>
    </row>
    <row r="656">
      <c r="B656" s="396"/>
      <c r="C656" s="396"/>
      <c r="D656" s="396"/>
      <c r="E656" s="397"/>
      <c r="F656" s="3"/>
      <c r="G656" s="3"/>
      <c r="H656" s="3"/>
    </row>
    <row r="657">
      <c r="B657" s="396"/>
      <c r="C657" s="396"/>
      <c r="D657" s="396"/>
      <c r="E657" s="397"/>
      <c r="F657" s="3"/>
      <c r="G657" s="3"/>
      <c r="H657" s="3"/>
    </row>
    <row r="658">
      <c r="B658" s="396"/>
      <c r="C658" s="396"/>
      <c r="D658" s="396"/>
      <c r="E658" s="397"/>
      <c r="F658" s="3"/>
      <c r="G658" s="3"/>
      <c r="H658" s="3"/>
    </row>
    <row r="659">
      <c r="B659" s="396"/>
      <c r="C659" s="396"/>
      <c r="D659" s="396"/>
      <c r="E659" s="397"/>
      <c r="F659" s="3"/>
      <c r="G659" s="3"/>
      <c r="H659" s="3"/>
    </row>
    <row r="660">
      <c r="B660" s="396"/>
      <c r="C660" s="396"/>
      <c r="D660" s="396"/>
      <c r="E660" s="397"/>
      <c r="F660" s="3"/>
      <c r="G660" s="3"/>
      <c r="H660" s="3"/>
    </row>
    <row r="661">
      <c r="B661" s="396"/>
      <c r="C661" s="396"/>
      <c r="D661" s="396"/>
      <c r="E661" s="397"/>
      <c r="F661" s="3"/>
      <c r="G661" s="3"/>
      <c r="H661" s="3"/>
    </row>
    <row r="662">
      <c r="B662" s="396"/>
      <c r="C662" s="396"/>
      <c r="D662" s="396"/>
      <c r="E662" s="397"/>
      <c r="F662" s="3"/>
      <c r="G662" s="3"/>
      <c r="H662" s="3"/>
    </row>
    <row r="663">
      <c r="B663" s="396"/>
      <c r="C663" s="396"/>
      <c r="D663" s="396"/>
      <c r="E663" s="397"/>
      <c r="F663" s="3"/>
      <c r="G663" s="3"/>
      <c r="H663" s="3"/>
    </row>
    <row r="664">
      <c r="B664" s="396"/>
      <c r="C664" s="396"/>
      <c r="D664" s="396"/>
      <c r="E664" s="397"/>
      <c r="F664" s="3"/>
      <c r="G664" s="3"/>
      <c r="H664" s="3"/>
    </row>
    <row r="665">
      <c r="B665" s="396"/>
      <c r="C665" s="396"/>
      <c r="D665" s="396"/>
      <c r="E665" s="397"/>
      <c r="F665" s="3"/>
      <c r="G665" s="3"/>
      <c r="H665" s="3"/>
    </row>
    <row r="666">
      <c r="B666" s="396"/>
      <c r="C666" s="396"/>
      <c r="D666" s="396"/>
      <c r="E666" s="397"/>
      <c r="F666" s="3"/>
      <c r="G666" s="3"/>
      <c r="H666" s="3"/>
    </row>
    <row r="667">
      <c r="B667" s="396"/>
      <c r="C667" s="396"/>
      <c r="D667" s="396"/>
      <c r="E667" s="397"/>
      <c r="F667" s="3"/>
      <c r="G667" s="3"/>
      <c r="H667" s="3"/>
    </row>
    <row r="668">
      <c r="B668" s="396"/>
      <c r="C668" s="396"/>
      <c r="D668" s="396"/>
      <c r="E668" s="397"/>
      <c r="F668" s="3"/>
      <c r="G668" s="3"/>
      <c r="H668" s="3"/>
    </row>
    <row r="669">
      <c r="B669" s="396"/>
      <c r="C669" s="396"/>
      <c r="D669" s="396"/>
      <c r="E669" s="397"/>
      <c r="F669" s="3"/>
      <c r="G669" s="3"/>
      <c r="H669" s="3"/>
    </row>
    <row r="670">
      <c r="B670" s="396"/>
      <c r="C670" s="396"/>
      <c r="D670" s="396"/>
      <c r="E670" s="397"/>
      <c r="F670" s="3"/>
      <c r="G670" s="3"/>
      <c r="H670" s="3"/>
    </row>
    <row r="671">
      <c r="B671" s="396"/>
      <c r="C671" s="396"/>
      <c r="D671" s="396"/>
      <c r="E671" s="397"/>
      <c r="F671" s="3"/>
      <c r="G671" s="3"/>
      <c r="H671" s="3"/>
    </row>
    <row r="672">
      <c r="B672" s="396"/>
      <c r="C672" s="396"/>
      <c r="D672" s="396"/>
      <c r="E672" s="397"/>
      <c r="F672" s="3"/>
      <c r="G672" s="3"/>
      <c r="H672" s="3"/>
    </row>
    <row r="673">
      <c r="B673" s="396"/>
      <c r="C673" s="396"/>
      <c r="D673" s="396"/>
      <c r="E673" s="397"/>
      <c r="F673" s="3"/>
      <c r="G673" s="3"/>
      <c r="H673" s="3"/>
    </row>
    <row r="674">
      <c r="B674" s="396"/>
      <c r="C674" s="396"/>
      <c r="D674" s="396"/>
      <c r="E674" s="397"/>
      <c r="F674" s="3"/>
      <c r="G674" s="3"/>
      <c r="H674" s="3"/>
    </row>
    <row r="675">
      <c r="B675" s="396"/>
      <c r="C675" s="396"/>
      <c r="D675" s="396"/>
      <c r="E675" s="397"/>
      <c r="F675" s="3"/>
      <c r="G675" s="3"/>
      <c r="H675" s="3"/>
    </row>
    <row r="676">
      <c r="B676" s="396"/>
      <c r="C676" s="396"/>
      <c r="D676" s="396"/>
      <c r="E676" s="397"/>
      <c r="F676" s="3"/>
      <c r="G676" s="3"/>
      <c r="H676" s="3"/>
    </row>
    <row r="677">
      <c r="B677" s="396"/>
      <c r="C677" s="396"/>
      <c r="D677" s="396"/>
      <c r="E677" s="397"/>
      <c r="F677" s="3"/>
      <c r="G677" s="3"/>
      <c r="H677" s="3"/>
    </row>
    <row r="678">
      <c r="B678" s="396"/>
      <c r="C678" s="396"/>
      <c r="D678" s="396"/>
      <c r="E678" s="397"/>
      <c r="F678" s="3"/>
      <c r="G678" s="3"/>
      <c r="H678" s="3"/>
    </row>
    <row r="679">
      <c r="B679" s="396"/>
      <c r="C679" s="396"/>
      <c r="D679" s="396"/>
      <c r="E679" s="397"/>
      <c r="F679" s="3"/>
      <c r="G679" s="3"/>
      <c r="H679" s="3"/>
    </row>
    <row r="680">
      <c r="B680" s="396"/>
      <c r="C680" s="396"/>
      <c r="D680" s="396"/>
      <c r="E680" s="397"/>
      <c r="F680" s="3"/>
      <c r="G680" s="3"/>
      <c r="H680" s="3"/>
    </row>
    <row r="681">
      <c r="B681" s="396"/>
      <c r="C681" s="396"/>
      <c r="D681" s="396"/>
      <c r="E681" s="397"/>
      <c r="F681" s="3"/>
      <c r="G681" s="3"/>
      <c r="H681" s="3"/>
    </row>
    <row r="682">
      <c r="B682" s="396"/>
      <c r="C682" s="396"/>
      <c r="D682" s="396"/>
      <c r="E682" s="397"/>
      <c r="F682" s="3"/>
      <c r="G682" s="3"/>
      <c r="H682" s="3"/>
    </row>
    <row r="683">
      <c r="B683" s="396"/>
      <c r="C683" s="396"/>
      <c r="D683" s="396"/>
      <c r="E683" s="397"/>
      <c r="F683" s="3"/>
      <c r="G683" s="3"/>
      <c r="H683" s="3"/>
    </row>
    <row r="684">
      <c r="B684" s="396"/>
      <c r="C684" s="396"/>
      <c r="D684" s="396"/>
      <c r="E684" s="397"/>
      <c r="F684" s="3"/>
      <c r="G684" s="3"/>
      <c r="H684" s="3"/>
    </row>
    <row r="685">
      <c r="B685" s="396"/>
      <c r="C685" s="396"/>
      <c r="D685" s="396"/>
      <c r="E685" s="397"/>
      <c r="F685" s="3"/>
      <c r="G685" s="3"/>
      <c r="H685" s="3"/>
    </row>
    <row r="686">
      <c r="B686" s="396"/>
      <c r="C686" s="396"/>
      <c r="D686" s="396"/>
      <c r="E686" s="397"/>
      <c r="F686" s="3"/>
      <c r="G686" s="3"/>
      <c r="H686" s="3"/>
    </row>
    <row r="687">
      <c r="B687" s="396"/>
      <c r="C687" s="396"/>
      <c r="D687" s="396"/>
      <c r="E687" s="397"/>
      <c r="F687" s="3"/>
      <c r="G687" s="3"/>
      <c r="H687" s="3"/>
    </row>
    <row r="688">
      <c r="B688" s="396"/>
      <c r="C688" s="396"/>
      <c r="D688" s="396"/>
      <c r="E688" s="397"/>
      <c r="F688" s="3"/>
      <c r="G688" s="3"/>
      <c r="H688" s="3"/>
    </row>
    <row r="689">
      <c r="B689" s="396"/>
      <c r="C689" s="396"/>
      <c r="D689" s="396"/>
      <c r="E689" s="397"/>
      <c r="F689" s="3"/>
      <c r="G689" s="3"/>
      <c r="H689" s="3"/>
    </row>
    <row r="690">
      <c r="B690" s="396"/>
      <c r="C690" s="396"/>
      <c r="D690" s="396"/>
      <c r="E690" s="397"/>
      <c r="F690" s="3"/>
      <c r="G690" s="3"/>
      <c r="H690" s="3"/>
    </row>
    <row r="691">
      <c r="B691" s="396"/>
      <c r="C691" s="396"/>
      <c r="D691" s="396"/>
      <c r="E691" s="397"/>
      <c r="F691" s="3"/>
      <c r="G691" s="3"/>
      <c r="H691" s="3"/>
    </row>
    <row r="692">
      <c r="B692" s="396"/>
      <c r="C692" s="396"/>
      <c r="D692" s="396"/>
      <c r="E692" s="397"/>
      <c r="F692" s="3"/>
      <c r="G692" s="3"/>
      <c r="H692" s="3"/>
    </row>
    <row r="693">
      <c r="B693" s="396"/>
      <c r="C693" s="396"/>
      <c r="D693" s="396"/>
      <c r="E693" s="397"/>
      <c r="F693" s="3"/>
      <c r="G693" s="3"/>
      <c r="H693" s="3"/>
    </row>
    <row r="694">
      <c r="B694" s="396"/>
      <c r="C694" s="396"/>
      <c r="D694" s="396"/>
      <c r="E694" s="397"/>
      <c r="F694" s="3"/>
      <c r="G694" s="3"/>
      <c r="H694" s="3"/>
    </row>
    <row r="695">
      <c r="B695" s="396"/>
      <c r="C695" s="396"/>
      <c r="D695" s="396"/>
      <c r="E695" s="397"/>
      <c r="F695" s="3"/>
      <c r="G695" s="3"/>
      <c r="H695" s="3"/>
    </row>
    <row r="696">
      <c r="B696" s="396"/>
      <c r="C696" s="396"/>
      <c r="D696" s="396"/>
      <c r="E696" s="397"/>
      <c r="F696" s="3"/>
      <c r="G696" s="3"/>
      <c r="H696" s="3"/>
    </row>
    <row r="697">
      <c r="B697" s="396"/>
      <c r="C697" s="396"/>
      <c r="D697" s="396"/>
      <c r="E697" s="397"/>
      <c r="F697" s="3"/>
      <c r="G697" s="3"/>
      <c r="H697" s="3"/>
    </row>
    <row r="698">
      <c r="B698" s="396"/>
      <c r="C698" s="396"/>
      <c r="D698" s="396"/>
      <c r="E698" s="397"/>
      <c r="F698" s="3"/>
      <c r="G698" s="3"/>
      <c r="H698" s="3"/>
    </row>
    <row r="699">
      <c r="B699" s="396"/>
      <c r="C699" s="396"/>
      <c r="D699" s="396"/>
      <c r="E699" s="397"/>
      <c r="F699" s="3"/>
      <c r="G699" s="3"/>
      <c r="H699" s="3"/>
    </row>
    <row r="700">
      <c r="B700" s="396"/>
      <c r="C700" s="396"/>
      <c r="D700" s="396"/>
      <c r="E700" s="397"/>
      <c r="F700" s="3"/>
      <c r="G700" s="3"/>
      <c r="H700" s="3"/>
    </row>
    <row r="701">
      <c r="B701" s="396"/>
      <c r="C701" s="396"/>
      <c r="D701" s="396"/>
      <c r="E701" s="397"/>
      <c r="F701" s="3"/>
      <c r="G701" s="3"/>
      <c r="H701" s="3"/>
    </row>
    <row r="702">
      <c r="B702" s="396"/>
      <c r="C702" s="396"/>
      <c r="D702" s="396"/>
      <c r="E702" s="397"/>
      <c r="F702" s="3"/>
      <c r="G702" s="3"/>
      <c r="H702" s="3"/>
    </row>
    <row r="703">
      <c r="B703" s="396"/>
      <c r="C703" s="396"/>
      <c r="D703" s="396"/>
      <c r="E703" s="397"/>
      <c r="F703" s="3"/>
      <c r="G703" s="3"/>
      <c r="H703" s="3"/>
    </row>
    <row r="704">
      <c r="B704" s="396"/>
      <c r="C704" s="396"/>
      <c r="D704" s="396"/>
      <c r="E704" s="397"/>
      <c r="F704" s="3"/>
      <c r="G704" s="3"/>
      <c r="H704" s="3"/>
    </row>
    <row r="705">
      <c r="B705" s="396"/>
      <c r="C705" s="396"/>
      <c r="D705" s="396"/>
      <c r="E705" s="397"/>
      <c r="F705" s="3"/>
      <c r="G705" s="3"/>
      <c r="H705" s="3"/>
    </row>
    <row r="706">
      <c r="B706" s="396"/>
      <c r="C706" s="396"/>
      <c r="D706" s="396"/>
      <c r="E706" s="397"/>
      <c r="F706" s="3"/>
      <c r="G706" s="3"/>
      <c r="H706" s="3"/>
    </row>
    <row r="707">
      <c r="B707" s="396"/>
      <c r="C707" s="396"/>
      <c r="D707" s="396"/>
      <c r="E707" s="397"/>
      <c r="F707" s="3"/>
      <c r="G707" s="3"/>
      <c r="H707" s="3"/>
    </row>
    <row r="708">
      <c r="B708" s="396"/>
      <c r="C708" s="396"/>
      <c r="D708" s="396"/>
      <c r="E708" s="397"/>
      <c r="F708" s="3"/>
      <c r="G708" s="3"/>
      <c r="H708" s="3"/>
    </row>
    <row r="709">
      <c r="B709" s="396"/>
      <c r="C709" s="396"/>
      <c r="D709" s="396"/>
      <c r="E709" s="397"/>
      <c r="F709" s="3"/>
      <c r="G709" s="3"/>
      <c r="H709" s="3"/>
    </row>
    <row r="710">
      <c r="B710" s="396"/>
      <c r="C710" s="396"/>
      <c r="D710" s="396"/>
      <c r="E710" s="397"/>
      <c r="F710" s="3"/>
      <c r="G710" s="3"/>
      <c r="H710" s="3"/>
    </row>
    <row r="711">
      <c r="B711" s="396"/>
      <c r="C711" s="396"/>
      <c r="D711" s="396"/>
      <c r="E711" s="397"/>
      <c r="F711" s="3"/>
      <c r="G711" s="3"/>
      <c r="H711" s="3"/>
    </row>
    <row r="712">
      <c r="B712" s="396"/>
      <c r="C712" s="396"/>
      <c r="D712" s="396"/>
      <c r="E712" s="397"/>
      <c r="F712" s="3"/>
      <c r="G712" s="3"/>
      <c r="H712" s="3"/>
    </row>
    <row r="713">
      <c r="B713" s="396"/>
      <c r="C713" s="396"/>
      <c r="D713" s="396"/>
      <c r="E713" s="397"/>
      <c r="F713" s="3"/>
      <c r="G713" s="3"/>
      <c r="H713" s="3"/>
    </row>
    <row r="714">
      <c r="B714" s="396"/>
      <c r="C714" s="396"/>
      <c r="D714" s="396"/>
      <c r="E714" s="397"/>
      <c r="F714" s="3"/>
      <c r="G714" s="3"/>
      <c r="H714" s="3"/>
    </row>
    <row r="715">
      <c r="B715" s="396"/>
      <c r="C715" s="396"/>
      <c r="D715" s="396"/>
      <c r="E715" s="397"/>
      <c r="F715" s="3"/>
      <c r="G715" s="3"/>
      <c r="H715" s="3"/>
    </row>
    <row r="716">
      <c r="B716" s="396"/>
      <c r="C716" s="396"/>
      <c r="D716" s="396"/>
      <c r="E716" s="397"/>
      <c r="F716" s="3"/>
      <c r="G716" s="3"/>
      <c r="H716" s="3"/>
    </row>
    <row r="717">
      <c r="B717" s="396"/>
      <c r="C717" s="396"/>
      <c r="D717" s="396"/>
      <c r="E717" s="397"/>
      <c r="F717" s="3"/>
      <c r="G717" s="3"/>
      <c r="H717" s="3"/>
    </row>
    <row r="718">
      <c r="B718" s="396"/>
      <c r="C718" s="396"/>
      <c r="D718" s="396"/>
      <c r="E718" s="397"/>
      <c r="F718" s="3"/>
      <c r="G718" s="3"/>
      <c r="H718" s="3"/>
    </row>
    <row r="719">
      <c r="B719" s="396"/>
      <c r="C719" s="396"/>
      <c r="D719" s="396"/>
      <c r="E719" s="397"/>
      <c r="F719" s="3"/>
      <c r="G719" s="3"/>
      <c r="H719" s="3"/>
    </row>
    <row r="720">
      <c r="B720" s="396"/>
      <c r="C720" s="396"/>
      <c r="D720" s="396"/>
      <c r="E720" s="397"/>
      <c r="F720" s="3"/>
      <c r="G720" s="3"/>
      <c r="H720" s="3"/>
    </row>
    <row r="721">
      <c r="B721" s="396"/>
      <c r="C721" s="396"/>
      <c r="D721" s="396"/>
      <c r="E721" s="397"/>
      <c r="F721" s="3"/>
      <c r="G721" s="3"/>
      <c r="H721" s="3"/>
    </row>
    <row r="722">
      <c r="B722" s="396"/>
      <c r="C722" s="396"/>
      <c r="D722" s="396"/>
      <c r="E722" s="397"/>
      <c r="F722" s="3"/>
      <c r="G722" s="3"/>
      <c r="H722" s="3"/>
    </row>
    <row r="723">
      <c r="B723" s="396"/>
      <c r="C723" s="396"/>
      <c r="D723" s="396"/>
      <c r="E723" s="397"/>
      <c r="F723" s="3"/>
      <c r="G723" s="3"/>
      <c r="H723" s="3"/>
    </row>
    <row r="724">
      <c r="B724" s="396"/>
      <c r="C724" s="396"/>
      <c r="D724" s="396"/>
      <c r="E724" s="397"/>
      <c r="F724" s="3"/>
      <c r="G724" s="3"/>
      <c r="H724" s="3"/>
    </row>
    <row r="725">
      <c r="B725" s="396"/>
      <c r="C725" s="396"/>
      <c r="D725" s="396"/>
      <c r="E725" s="397"/>
      <c r="F725" s="3"/>
      <c r="G725" s="3"/>
      <c r="H725" s="3"/>
    </row>
    <row r="726">
      <c r="B726" s="396"/>
      <c r="C726" s="396"/>
      <c r="D726" s="396"/>
      <c r="E726" s="397"/>
      <c r="F726" s="3"/>
      <c r="G726" s="3"/>
      <c r="H726" s="3"/>
    </row>
    <row r="727">
      <c r="B727" s="396"/>
      <c r="C727" s="396"/>
      <c r="D727" s="396"/>
      <c r="E727" s="397"/>
      <c r="F727" s="3"/>
      <c r="G727" s="3"/>
      <c r="H727" s="3"/>
    </row>
    <row r="728">
      <c r="B728" s="396"/>
      <c r="C728" s="396"/>
      <c r="D728" s="396"/>
      <c r="E728" s="397"/>
      <c r="F728" s="3"/>
      <c r="G728" s="3"/>
      <c r="H728" s="3"/>
    </row>
    <row r="729">
      <c r="B729" s="396"/>
      <c r="C729" s="396"/>
      <c r="D729" s="396"/>
      <c r="E729" s="397"/>
      <c r="F729" s="3"/>
      <c r="G729" s="3"/>
      <c r="H729" s="3"/>
    </row>
    <row r="730">
      <c r="B730" s="396"/>
      <c r="C730" s="396"/>
      <c r="D730" s="396"/>
      <c r="E730" s="397"/>
      <c r="F730" s="3"/>
      <c r="G730" s="3"/>
      <c r="H730" s="3"/>
    </row>
    <row r="731">
      <c r="B731" s="396"/>
      <c r="C731" s="396"/>
      <c r="D731" s="396"/>
      <c r="E731" s="397"/>
      <c r="F731" s="3"/>
      <c r="G731" s="3"/>
      <c r="H731" s="3"/>
    </row>
    <row r="732">
      <c r="B732" s="396"/>
      <c r="C732" s="396"/>
      <c r="D732" s="396"/>
      <c r="E732" s="397"/>
      <c r="F732" s="3"/>
      <c r="G732" s="3"/>
      <c r="H732" s="3"/>
    </row>
    <row r="733">
      <c r="B733" s="396"/>
      <c r="C733" s="396"/>
      <c r="D733" s="396"/>
      <c r="E733" s="397"/>
      <c r="F733" s="3"/>
      <c r="G733" s="3"/>
      <c r="H733" s="3"/>
    </row>
    <row r="734">
      <c r="B734" s="396"/>
      <c r="C734" s="396"/>
      <c r="D734" s="396"/>
      <c r="E734" s="397"/>
      <c r="F734" s="3"/>
      <c r="G734" s="3"/>
      <c r="H734" s="3"/>
    </row>
    <row r="735">
      <c r="B735" s="396"/>
      <c r="C735" s="396"/>
      <c r="D735" s="396"/>
      <c r="E735" s="397"/>
      <c r="F735" s="3"/>
      <c r="G735" s="3"/>
      <c r="H735" s="3"/>
    </row>
    <row r="736">
      <c r="B736" s="396"/>
      <c r="C736" s="396"/>
      <c r="D736" s="396"/>
      <c r="E736" s="397"/>
      <c r="F736" s="3"/>
      <c r="G736" s="3"/>
      <c r="H736" s="3"/>
    </row>
    <row r="737">
      <c r="B737" s="396"/>
      <c r="C737" s="396"/>
      <c r="D737" s="396"/>
      <c r="E737" s="397"/>
      <c r="F737" s="3"/>
      <c r="G737" s="3"/>
      <c r="H737" s="3"/>
    </row>
    <row r="738">
      <c r="B738" s="396"/>
      <c r="C738" s="396"/>
      <c r="D738" s="396"/>
      <c r="E738" s="397"/>
      <c r="F738" s="3"/>
      <c r="G738" s="3"/>
      <c r="H738" s="3"/>
    </row>
    <row r="739">
      <c r="B739" s="396"/>
      <c r="C739" s="396"/>
      <c r="D739" s="396"/>
      <c r="E739" s="397"/>
      <c r="F739" s="3"/>
      <c r="G739" s="3"/>
      <c r="H739" s="3"/>
    </row>
    <row r="740">
      <c r="B740" s="396"/>
      <c r="C740" s="396"/>
      <c r="D740" s="396"/>
      <c r="E740" s="397"/>
      <c r="F740" s="3"/>
      <c r="G740" s="3"/>
      <c r="H740" s="3"/>
    </row>
    <row r="741">
      <c r="B741" s="396"/>
      <c r="C741" s="396"/>
      <c r="D741" s="396"/>
      <c r="E741" s="397"/>
      <c r="F741" s="3"/>
      <c r="G741" s="3"/>
      <c r="H741" s="3"/>
    </row>
    <row r="742">
      <c r="B742" s="396"/>
      <c r="C742" s="396"/>
      <c r="D742" s="396"/>
      <c r="E742" s="397"/>
      <c r="F742" s="3"/>
      <c r="G742" s="3"/>
      <c r="H742" s="3"/>
    </row>
    <row r="743">
      <c r="B743" s="396"/>
      <c r="C743" s="396"/>
      <c r="D743" s="396"/>
      <c r="E743" s="397"/>
      <c r="F743" s="3"/>
      <c r="G743" s="3"/>
      <c r="H743" s="3"/>
    </row>
    <row r="744">
      <c r="B744" s="396"/>
      <c r="C744" s="396"/>
      <c r="D744" s="396"/>
      <c r="E744" s="397"/>
      <c r="F744" s="3"/>
      <c r="G744" s="3"/>
      <c r="H744" s="3"/>
    </row>
    <row r="745">
      <c r="B745" s="396"/>
      <c r="C745" s="396"/>
      <c r="D745" s="396"/>
      <c r="E745" s="397"/>
      <c r="F745" s="3"/>
      <c r="G745" s="3"/>
      <c r="H745" s="3"/>
    </row>
    <row r="746">
      <c r="B746" s="396"/>
      <c r="C746" s="396"/>
      <c r="D746" s="396"/>
      <c r="E746" s="397"/>
      <c r="F746" s="3"/>
      <c r="G746" s="3"/>
      <c r="H746" s="3"/>
    </row>
    <row r="747">
      <c r="B747" s="396"/>
      <c r="C747" s="396"/>
      <c r="D747" s="396"/>
      <c r="E747" s="397"/>
      <c r="F747" s="3"/>
      <c r="G747" s="3"/>
      <c r="H747" s="3"/>
    </row>
    <row r="748">
      <c r="B748" s="396"/>
      <c r="C748" s="396"/>
      <c r="D748" s="396"/>
      <c r="E748" s="397"/>
      <c r="F748" s="3"/>
      <c r="G748" s="3"/>
      <c r="H748" s="3"/>
    </row>
    <row r="749">
      <c r="B749" s="396"/>
      <c r="C749" s="396"/>
      <c r="D749" s="396"/>
      <c r="E749" s="397"/>
      <c r="F749" s="3"/>
      <c r="G749" s="3"/>
      <c r="H749" s="3"/>
    </row>
    <row r="750">
      <c r="B750" s="396"/>
      <c r="C750" s="396"/>
      <c r="D750" s="396"/>
      <c r="E750" s="397"/>
      <c r="F750" s="3"/>
      <c r="G750" s="3"/>
      <c r="H750" s="3"/>
    </row>
    <row r="751">
      <c r="B751" s="396"/>
      <c r="C751" s="396"/>
      <c r="D751" s="396"/>
      <c r="E751" s="397"/>
      <c r="F751" s="3"/>
      <c r="G751" s="3"/>
      <c r="H751" s="3"/>
    </row>
    <row r="752">
      <c r="B752" s="396"/>
      <c r="C752" s="396"/>
      <c r="D752" s="396"/>
      <c r="E752" s="397"/>
      <c r="F752" s="3"/>
      <c r="G752" s="3"/>
      <c r="H752" s="3"/>
    </row>
    <row r="753">
      <c r="B753" s="396"/>
      <c r="C753" s="396"/>
      <c r="D753" s="396"/>
      <c r="E753" s="397"/>
      <c r="F753" s="3"/>
      <c r="G753" s="3"/>
      <c r="H753" s="3"/>
    </row>
    <row r="754">
      <c r="B754" s="396"/>
      <c r="C754" s="396"/>
      <c r="D754" s="396"/>
      <c r="E754" s="397"/>
      <c r="F754" s="3"/>
      <c r="G754" s="3"/>
      <c r="H754" s="3"/>
    </row>
    <row r="755">
      <c r="B755" s="396"/>
      <c r="C755" s="396"/>
      <c r="D755" s="396"/>
      <c r="E755" s="397"/>
      <c r="F755" s="3"/>
      <c r="G755" s="3"/>
      <c r="H755" s="3"/>
    </row>
    <row r="756">
      <c r="B756" s="396"/>
      <c r="C756" s="396"/>
      <c r="D756" s="396"/>
      <c r="E756" s="397"/>
      <c r="F756" s="3"/>
      <c r="G756" s="3"/>
      <c r="H756" s="3"/>
    </row>
    <row r="757">
      <c r="B757" s="396"/>
      <c r="C757" s="396"/>
      <c r="D757" s="396"/>
      <c r="E757" s="397"/>
      <c r="F757" s="3"/>
      <c r="G757" s="3"/>
      <c r="H757" s="3"/>
    </row>
    <row r="758">
      <c r="B758" s="396"/>
      <c r="C758" s="396"/>
      <c r="D758" s="396"/>
      <c r="E758" s="397"/>
      <c r="F758" s="3"/>
      <c r="G758" s="3"/>
      <c r="H758" s="3"/>
    </row>
    <row r="759">
      <c r="B759" s="396"/>
      <c r="C759" s="396"/>
      <c r="D759" s="396"/>
      <c r="E759" s="397"/>
      <c r="F759" s="3"/>
      <c r="G759" s="3"/>
      <c r="H759" s="3"/>
    </row>
    <row r="760">
      <c r="B760" s="396"/>
      <c r="C760" s="396"/>
      <c r="D760" s="396"/>
      <c r="E760" s="397"/>
      <c r="F760" s="3"/>
      <c r="G760" s="3"/>
      <c r="H760" s="3"/>
    </row>
    <row r="761">
      <c r="B761" s="396"/>
      <c r="C761" s="396"/>
      <c r="D761" s="396"/>
      <c r="E761" s="397"/>
      <c r="F761" s="3"/>
      <c r="G761" s="3"/>
      <c r="H761" s="3"/>
    </row>
    <row r="762">
      <c r="B762" s="396"/>
      <c r="C762" s="396"/>
      <c r="D762" s="396"/>
      <c r="E762" s="397"/>
      <c r="F762" s="3"/>
      <c r="G762" s="3"/>
      <c r="H762" s="3"/>
    </row>
    <row r="763">
      <c r="B763" s="396"/>
      <c r="C763" s="396"/>
      <c r="D763" s="396"/>
      <c r="E763" s="397"/>
      <c r="F763" s="3"/>
      <c r="G763" s="3"/>
      <c r="H763" s="3"/>
    </row>
    <row r="764">
      <c r="B764" s="396"/>
      <c r="C764" s="396"/>
      <c r="D764" s="396"/>
      <c r="E764" s="397"/>
      <c r="F764" s="3"/>
      <c r="G764" s="3"/>
      <c r="H764" s="3"/>
    </row>
    <row r="765">
      <c r="B765" s="396"/>
      <c r="C765" s="396"/>
      <c r="D765" s="396"/>
      <c r="E765" s="397"/>
      <c r="F765" s="3"/>
      <c r="G765" s="3"/>
      <c r="H765" s="3"/>
    </row>
    <row r="766">
      <c r="B766" s="396"/>
      <c r="C766" s="396"/>
      <c r="D766" s="396"/>
      <c r="E766" s="397"/>
      <c r="F766" s="3"/>
      <c r="G766" s="3"/>
      <c r="H766" s="3"/>
    </row>
    <row r="767">
      <c r="B767" s="396"/>
      <c r="C767" s="396"/>
      <c r="D767" s="396"/>
      <c r="E767" s="397"/>
      <c r="F767" s="3"/>
      <c r="G767" s="3"/>
      <c r="H767" s="3"/>
    </row>
    <row r="768">
      <c r="B768" s="396"/>
      <c r="C768" s="396"/>
      <c r="D768" s="396"/>
      <c r="E768" s="397"/>
      <c r="F768" s="3"/>
      <c r="G768" s="3"/>
      <c r="H768" s="3"/>
    </row>
    <row r="769">
      <c r="B769" s="396"/>
      <c r="C769" s="396"/>
      <c r="D769" s="396"/>
      <c r="E769" s="397"/>
      <c r="F769" s="3"/>
      <c r="G769" s="3"/>
      <c r="H769" s="3"/>
    </row>
    <row r="770">
      <c r="B770" s="396"/>
      <c r="C770" s="396"/>
      <c r="D770" s="396"/>
      <c r="E770" s="397"/>
      <c r="F770" s="3"/>
      <c r="G770" s="3"/>
      <c r="H770" s="3"/>
    </row>
    <row r="771">
      <c r="B771" s="396"/>
      <c r="C771" s="396"/>
      <c r="D771" s="396"/>
      <c r="E771" s="397"/>
      <c r="F771" s="3"/>
      <c r="G771" s="3"/>
      <c r="H771" s="3"/>
    </row>
    <row r="772">
      <c r="B772" s="396"/>
      <c r="C772" s="396"/>
      <c r="D772" s="396"/>
      <c r="E772" s="397"/>
      <c r="F772" s="3"/>
      <c r="G772" s="3"/>
      <c r="H772" s="3"/>
    </row>
    <row r="773">
      <c r="B773" s="396"/>
      <c r="C773" s="396"/>
      <c r="D773" s="396"/>
      <c r="E773" s="397"/>
      <c r="F773" s="3"/>
      <c r="G773" s="3"/>
      <c r="H773" s="3"/>
    </row>
    <row r="774">
      <c r="B774" s="396"/>
      <c r="C774" s="396"/>
      <c r="D774" s="396"/>
      <c r="E774" s="397"/>
      <c r="F774" s="3"/>
      <c r="G774" s="3"/>
      <c r="H774" s="3"/>
    </row>
    <row r="775">
      <c r="B775" s="396"/>
      <c r="C775" s="396"/>
      <c r="D775" s="396"/>
      <c r="E775" s="397"/>
      <c r="F775" s="3"/>
      <c r="G775" s="3"/>
      <c r="H775" s="3"/>
    </row>
    <row r="776">
      <c r="B776" s="396"/>
      <c r="C776" s="396"/>
      <c r="D776" s="396"/>
      <c r="E776" s="397"/>
      <c r="F776" s="3"/>
      <c r="G776" s="3"/>
      <c r="H776" s="3"/>
    </row>
    <row r="777">
      <c r="B777" s="396"/>
      <c r="C777" s="396"/>
      <c r="D777" s="396"/>
      <c r="E777" s="397"/>
      <c r="F777" s="3"/>
      <c r="G777" s="3"/>
      <c r="H777" s="3"/>
    </row>
    <row r="778">
      <c r="B778" s="396"/>
      <c r="C778" s="396"/>
      <c r="D778" s="396"/>
      <c r="E778" s="397"/>
      <c r="F778" s="3"/>
      <c r="G778" s="3"/>
      <c r="H778" s="3"/>
    </row>
    <row r="779">
      <c r="B779" s="396"/>
      <c r="C779" s="396"/>
      <c r="D779" s="396"/>
      <c r="E779" s="397"/>
      <c r="F779" s="3"/>
      <c r="G779" s="3"/>
      <c r="H779" s="3"/>
    </row>
    <row r="780">
      <c r="B780" s="396"/>
      <c r="C780" s="396"/>
      <c r="D780" s="396"/>
      <c r="E780" s="397"/>
      <c r="F780" s="3"/>
      <c r="G780" s="3"/>
      <c r="H780" s="3"/>
    </row>
    <row r="781">
      <c r="B781" s="396"/>
      <c r="C781" s="396"/>
      <c r="D781" s="396"/>
      <c r="E781" s="397"/>
      <c r="F781" s="3"/>
      <c r="G781" s="3"/>
      <c r="H781" s="3"/>
    </row>
    <row r="782">
      <c r="B782" s="396"/>
      <c r="C782" s="396"/>
      <c r="D782" s="396"/>
      <c r="E782" s="397"/>
      <c r="F782" s="3"/>
      <c r="G782" s="3"/>
      <c r="H782" s="3"/>
    </row>
    <row r="783">
      <c r="B783" s="396"/>
      <c r="C783" s="396"/>
      <c r="D783" s="396"/>
      <c r="E783" s="397"/>
      <c r="F783" s="3"/>
      <c r="G783" s="3"/>
      <c r="H783" s="3"/>
    </row>
    <row r="784">
      <c r="B784" s="396"/>
      <c r="C784" s="396"/>
      <c r="D784" s="396"/>
      <c r="E784" s="397"/>
      <c r="F784" s="3"/>
      <c r="G784" s="3"/>
      <c r="H784" s="3"/>
    </row>
    <row r="785">
      <c r="B785" s="396"/>
      <c r="C785" s="396"/>
      <c r="D785" s="396"/>
      <c r="E785" s="397"/>
      <c r="F785" s="3"/>
      <c r="G785" s="3"/>
      <c r="H785" s="3"/>
    </row>
    <row r="786">
      <c r="B786" s="396"/>
      <c r="C786" s="396"/>
      <c r="D786" s="396"/>
      <c r="E786" s="397"/>
      <c r="F786" s="3"/>
      <c r="G786" s="3"/>
      <c r="H786" s="3"/>
    </row>
    <row r="787">
      <c r="B787" s="396"/>
      <c r="C787" s="396"/>
      <c r="D787" s="396"/>
      <c r="E787" s="397"/>
      <c r="F787" s="3"/>
      <c r="G787" s="3"/>
      <c r="H787" s="3"/>
    </row>
    <row r="788">
      <c r="B788" s="396"/>
      <c r="C788" s="396"/>
      <c r="D788" s="396"/>
      <c r="E788" s="397"/>
      <c r="F788" s="3"/>
      <c r="G788" s="3"/>
      <c r="H788" s="3"/>
    </row>
    <row r="789">
      <c r="B789" s="396"/>
      <c r="C789" s="396"/>
      <c r="D789" s="396"/>
      <c r="E789" s="397"/>
      <c r="F789" s="3"/>
      <c r="G789" s="3"/>
      <c r="H789" s="3"/>
    </row>
    <row r="790">
      <c r="B790" s="396"/>
      <c r="C790" s="396"/>
      <c r="D790" s="396"/>
      <c r="E790" s="397"/>
      <c r="F790" s="3"/>
      <c r="G790" s="3"/>
      <c r="H790" s="3"/>
    </row>
    <row r="791">
      <c r="B791" s="396"/>
      <c r="C791" s="396"/>
      <c r="D791" s="396"/>
      <c r="E791" s="397"/>
      <c r="F791" s="3"/>
      <c r="G791" s="3"/>
      <c r="H791" s="3"/>
    </row>
    <row r="792">
      <c r="B792" s="396"/>
      <c r="C792" s="396"/>
      <c r="D792" s="396"/>
      <c r="E792" s="397"/>
      <c r="F792" s="3"/>
      <c r="G792" s="3"/>
      <c r="H792" s="3"/>
    </row>
    <row r="793">
      <c r="B793" s="396"/>
      <c r="C793" s="396"/>
      <c r="D793" s="396"/>
      <c r="E793" s="397"/>
      <c r="F793" s="3"/>
      <c r="G793" s="3"/>
      <c r="H793" s="3"/>
    </row>
    <row r="794">
      <c r="B794" s="396"/>
      <c r="C794" s="396"/>
      <c r="D794" s="396"/>
      <c r="E794" s="397"/>
      <c r="F794" s="3"/>
      <c r="G794" s="3"/>
      <c r="H794" s="3"/>
    </row>
    <row r="795">
      <c r="B795" s="396"/>
      <c r="C795" s="396"/>
      <c r="D795" s="396"/>
      <c r="E795" s="397"/>
      <c r="F795" s="3"/>
      <c r="G795" s="3"/>
      <c r="H795" s="3"/>
    </row>
    <row r="796">
      <c r="B796" s="396"/>
      <c r="C796" s="396"/>
      <c r="D796" s="396"/>
      <c r="E796" s="397"/>
      <c r="F796" s="3"/>
      <c r="G796" s="3"/>
      <c r="H796" s="3"/>
    </row>
    <row r="797">
      <c r="B797" s="396"/>
      <c r="C797" s="396"/>
      <c r="D797" s="396"/>
      <c r="E797" s="397"/>
      <c r="F797" s="3"/>
      <c r="G797" s="3"/>
      <c r="H797" s="3"/>
    </row>
    <row r="798">
      <c r="B798" s="396"/>
      <c r="C798" s="396"/>
      <c r="D798" s="396"/>
      <c r="E798" s="397"/>
      <c r="F798" s="3"/>
      <c r="G798" s="3"/>
      <c r="H798" s="3"/>
    </row>
    <row r="799">
      <c r="B799" s="396"/>
      <c r="C799" s="396"/>
      <c r="D799" s="396"/>
      <c r="E799" s="397"/>
      <c r="F799" s="3"/>
      <c r="G799" s="3"/>
      <c r="H799" s="3"/>
    </row>
    <row r="800">
      <c r="B800" s="396"/>
      <c r="C800" s="396"/>
      <c r="D800" s="396"/>
      <c r="E800" s="397"/>
      <c r="F800" s="3"/>
      <c r="G800" s="3"/>
      <c r="H800" s="3"/>
    </row>
    <row r="801">
      <c r="B801" s="396"/>
      <c r="C801" s="396"/>
      <c r="D801" s="396"/>
      <c r="E801" s="397"/>
      <c r="F801" s="3"/>
      <c r="G801" s="3"/>
      <c r="H801" s="3"/>
    </row>
    <row r="802">
      <c r="B802" s="396"/>
      <c r="C802" s="396"/>
      <c r="D802" s="396"/>
      <c r="E802" s="397"/>
      <c r="F802" s="3"/>
      <c r="G802" s="3"/>
      <c r="H802" s="3"/>
    </row>
    <row r="803">
      <c r="B803" s="396"/>
      <c r="C803" s="396"/>
      <c r="D803" s="396"/>
      <c r="E803" s="397"/>
      <c r="F803" s="3"/>
      <c r="G803" s="3"/>
      <c r="H803" s="3"/>
    </row>
    <row r="804">
      <c r="B804" s="396"/>
      <c r="C804" s="396"/>
      <c r="D804" s="396"/>
      <c r="E804" s="397"/>
      <c r="F804" s="3"/>
      <c r="G804" s="3"/>
      <c r="H804" s="3"/>
    </row>
    <row r="805">
      <c r="B805" s="396"/>
      <c r="C805" s="396"/>
      <c r="D805" s="396"/>
      <c r="E805" s="397"/>
      <c r="F805" s="3"/>
      <c r="G805" s="3"/>
      <c r="H805" s="3"/>
    </row>
    <row r="806">
      <c r="B806" s="396"/>
      <c r="C806" s="396"/>
      <c r="D806" s="396"/>
      <c r="E806" s="397"/>
      <c r="F806" s="3"/>
      <c r="G806" s="3"/>
      <c r="H806" s="3"/>
    </row>
    <row r="807">
      <c r="B807" s="396"/>
      <c r="C807" s="396"/>
      <c r="D807" s="396"/>
      <c r="E807" s="397"/>
      <c r="F807" s="3"/>
      <c r="G807" s="3"/>
      <c r="H807" s="3"/>
    </row>
    <row r="808">
      <c r="B808" s="396"/>
      <c r="C808" s="396"/>
      <c r="D808" s="396"/>
      <c r="E808" s="397"/>
      <c r="F808" s="3"/>
      <c r="G808" s="3"/>
      <c r="H808" s="3"/>
    </row>
    <row r="809">
      <c r="B809" s="396"/>
      <c r="C809" s="396"/>
      <c r="D809" s="396"/>
      <c r="E809" s="397"/>
      <c r="F809" s="3"/>
      <c r="G809" s="3"/>
      <c r="H809" s="3"/>
    </row>
    <row r="810">
      <c r="B810" s="396"/>
      <c r="C810" s="396"/>
      <c r="D810" s="396"/>
      <c r="E810" s="397"/>
      <c r="F810" s="3"/>
      <c r="G810" s="3"/>
      <c r="H810" s="3"/>
    </row>
    <row r="811">
      <c r="B811" s="396"/>
      <c r="C811" s="396"/>
      <c r="D811" s="396"/>
      <c r="E811" s="397"/>
      <c r="F811" s="3"/>
      <c r="G811" s="3"/>
      <c r="H811" s="3"/>
    </row>
    <row r="812">
      <c r="B812" s="396"/>
      <c r="C812" s="396"/>
      <c r="D812" s="396"/>
      <c r="E812" s="397"/>
      <c r="F812" s="3"/>
      <c r="G812" s="3"/>
      <c r="H812" s="3"/>
    </row>
    <row r="813">
      <c r="B813" s="396"/>
      <c r="C813" s="396"/>
      <c r="D813" s="396"/>
      <c r="E813" s="397"/>
      <c r="F813" s="3"/>
      <c r="G813" s="3"/>
      <c r="H813" s="3"/>
    </row>
    <row r="814">
      <c r="B814" s="396"/>
      <c r="C814" s="396"/>
      <c r="D814" s="396"/>
      <c r="E814" s="397"/>
      <c r="F814" s="3"/>
      <c r="G814" s="3"/>
      <c r="H814" s="3"/>
    </row>
    <row r="815">
      <c r="B815" s="396"/>
      <c r="C815" s="396"/>
      <c r="D815" s="396"/>
      <c r="E815" s="397"/>
      <c r="F815" s="3"/>
      <c r="G815" s="3"/>
      <c r="H815" s="3"/>
    </row>
    <row r="816">
      <c r="B816" s="396"/>
      <c r="C816" s="396"/>
      <c r="D816" s="396"/>
      <c r="E816" s="397"/>
      <c r="F816" s="3"/>
      <c r="G816" s="3"/>
      <c r="H816" s="3"/>
    </row>
    <row r="817">
      <c r="B817" s="396"/>
      <c r="C817" s="396"/>
      <c r="D817" s="396"/>
      <c r="E817" s="397"/>
      <c r="F817" s="3"/>
      <c r="G817" s="3"/>
      <c r="H817" s="3"/>
    </row>
    <row r="818">
      <c r="B818" s="396"/>
      <c r="C818" s="396"/>
      <c r="D818" s="396"/>
      <c r="E818" s="397"/>
      <c r="F818" s="3"/>
      <c r="G818" s="3"/>
      <c r="H818" s="3"/>
    </row>
    <row r="819">
      <c r="B819" s="396"/>
      <c r="C819" s="396"/>
      <c r="D819" s="396"/>
      <c r="E819" s="397"/>
      <c r="F819" s="3"/>
      <c r="G819" s="3"/>
      <c r="H819" s="3"/>
    </row>
    <row r="820">
      <c r="B820" s="396"/>
      <c r="C820" s="396"/>
      <c r="D820" s="396"/>
      <c r="E820" s="397"/>
      <c r="F820" s="3"/>
      <c r="G820" s="3"/>
      <c r="H820" s="3"/>
    </row>
    <row r="821">
      <c r="B821" s="396"/>
      <c r="C821" s="396"/>
      <c r="D821" s="396"/>
      <c r="E821" s="397"/>
      <c r="F821" s="3"/>
      <c r="G821" s="3"/>
      <c r="H821" s="3"/>
    </row>
    <row r="822">
      <c r="B822" s="396"/>
      <c r="C822" s="396"/>
      <c r="D822" s="396"/>
      <c r="E822" s="397"/>
      <c r="F822" s="3"/>
      <c r="G822" s="3"/>
      <c r="H822" s="3"/>
    </row>
    <row r="823">
      <c r="B823" s="396"/>
      <c r="C823" s="396"/>
      <c r="D823" s="396"/>
      <c r="E823" s="397"/>
      <c r="F823" s="3"/>
      <c r="G823" s="3"/>
      <c r="H823" s="3"/>
    </row>
    <row r="824">
      <c r="B824" s="396"/>
      <c r="C824" s="396"/>
      <c r="D824" s="396"/>
      <c r="E824" s="397"/>
      <c r="F824" s="3"/>
      <c r="G824" s="3"/>
      <c r="H824" s="3"/>
    </row>
    <row r="825">
      <c r="B825" s="396"/>
      <c r="C825" s="396"/>
      <c r="D825" s="396"/>
      <c r="E825" s="397"/>
      <c r="F825" s="3"/>
      <c r="G825" s="3"/>
      <c r="H825" s="3"/>
    </row>
    <row r="826">
      <c r="B826" s="396"/>
      <c r="C826" s="396"/>
      <c r="D826" s="396"/>
      <c r="E826" s="397"/>
      <c r="F826" s="3"/>
      <c r="G826" s="3"/>
      <c r="H826" s="3"/>
    </row>
    <row r="827">
      <c r="B827" s="396"/>
      <c r="C827" s="396"/>
      <c r="D827" s="396"/>
      <c r="E827" s="397"/>
      <c r="F827" s="3"/>
      <c r="G827" s="3"/>
      <c r="H827" s="3"/>
    </row>
    <row r="828">
      <c r="B828" s="396"/>
      <c r="C828" s="396"/>
      <c r="D828" s="396"/>
      <c r="E828" s="397"/>
      <c r="F828" s="3"/>
      <c r="G828" s="3"/>
      <c r="H828" s="3"/>
    </row>
    <row r="829">
      <c r="B829" s="396"/>
      <c r="C829" s="396"/>
      <c r="D829" s="396"/>
      <c r="E829" s="397"/>
      <c r="F829" s="3"/>
      <c r="G829" s="3"/>
      <c r="H829" s="3"/>
    </row>
    <row r="830">
      <c r="B830" s="396"/>
      <c r="C830" s="396"/>
      <c r="D830" s="396"/>
      <c r="E830" s="397"/>
      <c r="F830" s="3"/>
      <c r="G830" s="3"/>
      <c r="H830" s="3"/>
    </row>
    <row r="831">
      <c r="B831" s="396"/>
      <c r="C831" s="396"/>
      <c r="D831" s="396"/>
      <c r="E831" s="397"/>
      <c r="F831" s="3"/>
      <c r="G831" s="3"/>
      <c r="H831" s="3"/>
    </row>
    <row r="832">
      <c r="B832" s="396"/>
      <c r="C832" s="396"/>
      <c r="D832" s="396"/>
      <c r="E832" s="397"/>
      <c r="F832" s="3"/>
      <c r="G832" s="3"/>
      <c r="H832" s="3"/>
    </row>
    <row r="833">
      <c r="B833" s="396"/>
      <c r="C833" s="396"/>
      <c r="D833" s="396"/>
      <c r="E833" s="397"/>
      <c r="F833" s="3"/>
      <c r="G833" s="3"/>
      <c r="H833" s="3"/>
    </row>
    <row r="834">
      <c r="B834" s="396"/>
      <c r="C834" s="396"/>
      <c r="D834" s="396"/>
      <c r="E834" s="397"/>
      <c r="F834" s="3"/>
      <c r="G834" s="3"/>
      <c r="H834" s="3"/>
    </row>
    <row r="835">
      <c r="B835" s="396"/>
      <c r="C835" s="396"/>
      <c r="D835" s="396"/>
      <c r="E835" s="397"/>
      <c r="F835" s="3"/>
      <c r="G835" s="3"/>
      <c r="H835" s="3"/>
    </row>
    <row r="836">
      <c r="B836" s="396"/>
      <c r="C836" s="396"/>
      <c r="D836" s="396"/>
      <c r="E836" s="397"/>
      <c r="F836" s="3"/>
      <c r="G836" s="3"/>
      <c r="H836" s="3"/>
    </row>
    <row r="837">
      <c r="B837" s="396"/>
      <c r="C837" s="396"/>
      <c r="D837" s="396"/>
      <c r="E837" s="397"/>
      <c r="F837" s="3"/>
      <c r="G837" s="3"/>
      <c r="H837" s="3"/>
    </row>
    <row r="838">
      <c r="B838" s="396"/>
      <c r="C838" s="396"/>
      <c r="D838" s="396"/>
      <c r="E838" s="397"/>
      <c r="F838" s="3"/>
      <c r="G838" s="3"/>
      <c r="H838" s="3"/>
    </row>
    <row r="839">
      <c r="B839" s="396"/>
      <c r="C839" s="396"/>
      <c r="D839" s="396"/>
      <c r="E839" s="397"/>
      <c r="F839" s="3"/>
      <c r="G839" s="3"/>
      <c r="H839" s="3"/>
    </row>
    <row r="840">
      <c r="B840" s="396"/>
      <c r="C840" s="396"/>
      <c r="D840" s="396"/>
      <c r="E840" s="397"/>
      <c r="F840" s="3"/>
      <c r="G840" s="3"/>
      <c r="H840" s="3"/>
    </row>
    <row r="841">
      <c r="B841" s="396"/>
      <c r="C841" s="396"/>
      <c r="D841" s="396"/>
      <c r="E841" s="397"/>
      <c r="F841" s="3"/>
      <c r="G841" s="3"/>
      <c r="H841" s="3"/>
    </row>
    <row r="842">
      <c r="B842" s="396"/>
      <c r="C842" s="396"/>
      <c r="D842" s="396"/>
      <c r="E842" s="397"/>
      <c r="F842" s="3"/>
      <c r="G842" s="3"/>
      <c r="H842" s="3"/>
    </row>
    <row r="843">
      <c r="B843" s="396"/>
      <c r="C843" s="396"/>
      <c r="D843" s="396"/>
      <c r="E843" s="397"/>
      <c r="F843" s="3"/>
      <c r="G843" s="3"/>
      <c r="H843" s="3"/>
    </row>
    <row r="844">
      <c r="B844" s="396"/>
      <c r="C844" s="396"/>
      <c r="D844" s="396"/>
      <c r="E844" s="397"/>
      <c r="F844" s="3"/>
      <c r="G844" s="3"/>
      <c r="H844" s="3"/>
    </row>
    <row r="845">
      <c r="B845" s="396"/>
      <c r="C845" s="396"/>
      <c r="D845" s="396"/>
      <c r="E845" s="397"/>
      <c r="F845" s="3"/>
      <c r="G845" s="3"/>
      <c r="H845" s="3"/>
    </row>
    <row r="846">
      <c r="B846" s="396"/>
      <c r="C846" s="396"/>
      <c r="D846" s="396"/>
      <c r="E846" s="397"/>
      <c r="F846" s="3"/>
      <c r="G846" s="3"/>
      <c r="H846" s="3"/>
    </row>
    <row r="847">
      <c r="B847" s="396"/>
      <c r="C847" s="396"/>
      <c r="D847" s="396"/>
      <c r="E847" s="397"/>
      <c r="F847" s="3"/>
      <c r="G847" s="3"/>
      <c r="H847" s="3"/>
    </row>
    <row r="848">
      <c r="B848" s="396"/>
      <c r="C848" s="396"/>
      <c r="D848" s="396"/>
      <c r="E848" s="397"/>
      <c r="F848" s="3"/>
      <c r="G848" s="3"/>
      <c r="H848" s="3"/>
    </row>
    <row r="849">
      <c r="B849" s="396"/>
      <c r="C849" s="396"/>
      <c r="D849" s="396"/>
      <c r="E849" s="397"/>
      <c r="F849" s="3"/>
      <c r="G849" s="3"/>
      <c r="H849" s="3"/>
    </row>
    <row r="850">
      <c r="B850" s="396"/>
      <c r="C850" s="396"/>
      <c r="D850" s="396"/>
      <c r="E850" s="397"/>
      <c r="F850" s="3"/>
      <c r="G850" s="3"/>
      <c r="H850" s="3"/>
    </row>
    <row r="851">
      <c r="B851" s="396"/>
      <c r="C851" s="396"/>
      <c r="D851" s="396"/>
      <c r="E851" s="397"/>
      <c r="F851" s="3"/>
      <c r="G851" s="3"/>
      <c r="H851" s="3"/>
    </row>
    <row r="852">
      <c r="B852" s="396"/>
      <c r="C852" s="396"/>
      <c r="D852" s="396"/>
      <c r="E852" s="397"/>
      <c r="F852" s="3"/>
      <c r="G852" s="3"/>
      <c r="H852" s="3"/>
    </row>
    <row r="853">
      <c r="B853" s="396"/>
      <c r="C853" s="396"/>
      <c r="D853" s="396"/>
      <c r="E853" s="397"/>
      <c r="F853" s="3"/>
      <c r="G853" s="3"/>
      <c r="H853" s="3"/>
    </row>
    <row r="854">
      <c r="B854" s="396"/>
      <c r="C854" s="396"/>
      <c r="D854" s="396"/>
      <c r="E854" s="397"/>
      <c r="F854" s="3"/>
      <c r="G854" s="3"/>
      <c r="H854" s="3"/>
    </row>
    <row r="855">
      <c r="B855" s="396"/>
      <c r="C855" s="396"/>
      <c r="D855" s="396"/>
      <c r="E855" s="397"/>
      <c r="F855" s="3"/>
      <c r="G855" s="3"/>
      <c r="H855" s="3"/>
    </row>
    <row r="856">
      <c r="B856" s="396"/>
      <c r="C856" s="396"/>
      <c r="D856" s="396"/>
      <c r="E856" s="397"/>
      <c r="F856" s="3"/>
      <c r="G856" s="3"/>
      <c r="H856" s="3"/>
    </row>
    <row r="857">
      <c r="B857" s="396"/>
      <c r="C857" s="396"/>
      <c r="D857" s="396"/>
      <c r="E857" s="397"/>
      <c r="F857" s="3"/>
      <c r="G857" s="3"/>
      <c r="H857" s="3"/>
    </row>
    <row r="858">
      <c r="B858" s="396"/>
      <c r="C858" s="396"/>
      <c r="D858" s="396"/>
      <c r="E858" s="397"/>
      <c r="F858" s="3"/>
      <c r="G858" s="3"/>
      <c r="H858" s="3"/>
    </row>
    <row r="859">
      <c r="B859" s="396"/>
      <c r="C859" s="396"/>
      <c r="D859" s="396"/>
      <c r="E859" s="397"/>
      <c r="F859" s="3"/>
      <c r="G859" s="3"/>
      <c r="H859" s="3"/>
    </row>
    <row r="860">
      <c r="B860" s="396"/>
      <c r="C860" s="396"/>
      <c r="D860" s="396"/>
      <c r="E860" s="397"/>
      <c r="F860" s="3"/>
      <c r="G860" s="3"/>
      <c r="H860" s="3"/>
    </row>
    <row r="861">
      <c r="B861" s="396"/>
      <c r="C861" s="396"/>
      <c r="D861" s="396"/>
      <c r="E861" s="397"/>
      <c r="F861" s="3"/>
      <c r="G861" s="3"/>
      <c r="H861" s="3"/>
    </row>
    <row r="862">
      <c r="B862" s="396"/>
      <c r="C862" s="396"/>
      <c r="D862" s="396"/>
      <c r="E862" s="397"/>
      <c r="F862" s="3"/>
      <c r="G862" s="3"/>
      <c r="H862" s="3"/>
    </row>
    <row r="863">
      <c r="B863" s="396"/>
      <c r="C863" s="396"/>
      <c r="D863" s="396"/>
      <c r="E863" s="397"/>
      <c r="F863" s="3"/>
      <c r="G863" s="3"/>
      <c r="H863" s="3"/>
    </row>
    <row r="864">
      <c r="B864" s="396"/>
      <c r="C864" s="396"/>
      <c r="D864" s="396"/>
      <c r="E864" s="397"/>
      <c r="F864" s="3"/>
      <c r="G864" s="3"/>
      <c r="H864" s="3"/>
    </row>
    <row r="865">
      <c r="B865" s="396"/>
      <c r="C865" s="396"/>
      <c r="D865" s="396"/>
      <c r="E865" s="397"/>
      <c r="F865" s="3"/>
      <c r="G865" s="3"/>
      <c r="H865" s="3"/>
    </row>
    <row r="866">
      <c r="B866" s="396"/>
      <c r="C866" s="396"/>
      <c r="D866" s="396"/>
      <c r="E866" s="397"/>
      <c r="F866" s="3"/>
      <c r="G866" s="3"/>
      <c r="H866" s="3"/>
    </row>
    <row r="867">
      <c r="B867" s="396"/>
      <c r="C867" s="396"/>
      <c r="D867" s="396"/>
      <c r="E867" s="397"/>
      <c r="F867" s="3"/>
      <c r="G867" s="3"/>
      <c r="H867" s="3"/>
    </row>
    <row r="868">
      <c r="B868" s="396"/>
      <c r="C868" s="396"/>
      <c r="D868" s="396"/>
      <c r="E868" s="397"/>
      <c r="F868" s="3"/>
      <c r="G868" s="3"/>
      <c r="H868" s="3"/>
    </row>
    <row r="869">
      <c r="B869" s="396"/>
      <c r="C869" s="396"/>
      <c r="D869" s="396"/>
      <c r="E869" s="397"/>
      <c r="F869" s="3"/>
      <c r="G869" s="3"/>
      <c r="H869" s="3"/>
    </row>
    <row r="870">
      <c r="B870" s="396"/>
      <c r="C870" s="396"/>
      <c r="D870" s="396"/>
      <c r="E870" s="397"/>
      <c r="F870" s="3"/>
      <c r="G870" s="3"/>
      <c r="H870" s="3"/>
    </row>
    <row r="871">
      <c r="B871" s="396"/>
      <c r="C871" s="396"/>
      <c r="D871" s="396"/>
      <c r="E871" s="397"/>
      <c r="F871" s="3"/>
      <c r="G871" s="3"/>
      <c r="H871" s="3"/>
    </row>
    <row r="872">
      <c r="B872" s="396"/>
      <c r="C872" s="396"/>
      <c r="D872" s="396"/>
      <c r="E872" s="397"/>
      <c r="F872" s="3"/>
      <c r="G872" s="3"/>
      <c r="H872" s="3"/>
    </row>
    <row r="873">
      <c r="B873" s="396"/>
      <c r="C873" s="396"/>
      <c r="D873" s="396"/>
      <c r="E873" s="397"/>
      <c r="F873" s="3"/>
      <c r="G873" s="3"/>
      <c r="H873" s="3"/>
    </row>
    <row r="874">
      <c r="B874" s="396"/>
      <c r="C874" s="396"/>
      <c r="D874" s="396"/>
      <c r="E874" s="397"/>
      <c r="F874" s="3"/>
      <c r="G874" s="3"/>
      <c r="H874" s="3"/>
    </row>
    <row r="875">
      <c r="B875" s="396"/>
      <c r="C875" s="396"/>
      <c r="D875" s="396"/>
      <c r="E875" s="397"/>
      <c r="F875" s="3"/>
      <c r="G875" s="3"/>
      <c r="H875" s="3"/>
    </row>
    <row r="876">
      <c r="B876" s="396"/>
      <c r="C876" s="396"/>
      <c r="D876" s="396"/>
      <c r="E876" s="397"/>
      <c r="F876" s="3"/>
      <c r="G876" s="3"/>
      <c r="H876" s="3"/>
    </row>
    <row r="877">
      <c r="B877" s="396"/>
      <c r="C877" s="396"/>
      <c r="D877" s="396"/>
      <c r="E877" s="397"/>
      <c r="F877" s="3"/>
      <c r="G877" s="3"/>
      <c r="H877" s="3"/>
    </row>
    <row r="878">
      <c r="B878" s="396"/>
      <c r="C878" s="396"/>
      <c r="D878" s="396"/>
      <c r="E878" s="397"/>
      <c r="F878" s="3"/>
      <c r="G878" s="3"/>
      <c r="H878" s="3"/>
    </row>
    <row r="879">
      <c r="B879" s="396"/>
      <c r="C879" s="396"/>
      <c r="D879" s="396"/>
      <c r="E879" s="397"/>
      <c r="F879" s="3"/>
      <c r="G879" s="3"/>
      <c r="H879" s="3"/>
    </row>
    <row r="880">
      <c r="B880" s="396"/>
      <c r="C880" s="396"/>
      <c r="D880" s="396"/>
      <c r="E880" s="397"/>
      <c r="F880" s="3"/>
      <c r="G880" s="3"/>
      <c r="H880" s="3"/>
    </row>
    <row r="881">
      <c r="B881" s="396"/>
      <c r="C881" s="396"/>
      <c r="D881" s="396"/>
      <c r="E881" s="397"/>
      <c r="F881" s="3"/>
      <c r="G881" s="3"/>
      <c r="H881" s="3"/>
    </row>
    <row r="882">
      <c r="B882" s="396"/>
      <c r="C882" s="396"/>
      <c r="D882" s="396"/>
      <c r="E882" s="397"/>
      <c r="F882" s="3"/>
      <c r="G882" s="3"/>
      <c r="H882" s="3"/>
    </row>
    <row r="883">
      <c r="B883" s="396"/>
      <c r="C883" s="396"/>
      <c r="D883" s="396"/>
      <c r="E883" s="397"/>
      <c r="F883" s="3"/>
      <c r="G883" s="3"/>
      <c r="H883" s="3"/>
    </row>
    <row r="884">
      <c r="B884" s="396"/>
      <c r="C884" s="396"/>
      <c r="D884" s="396"/>
      <c r="E884" s="397"/>
      <c r="F884" s="3"/>
      <c r="G884" s="3"/>
      <c r="H884" s="3"/>
    </row>
    <row r="885">
      <c r="B885" s="396"/>
      <c r="C885" s="396"/>
      <c r="D885" s="396"/>
      <c r="E885" s="397"/>
      <c r="F885" s="3"/>
      <c r="G885" s="3"/>
      <c r="H885" s="3"/>
    </row>
    <row r="886">
      <c r="B886" s="396"/>
      <c r="C886" s="396"/>
      <c r="D886" s="396"/>
      <c r="E886" s="397"/>
      <c r="F886" s="3"/>
      <c r="G886" s="3"/>
      <c r="H886" s="3"/>
    </row>
    <row r="887">
      <c r="B887" s="396"/>
      <c r="C887" s="396"/>
      <c r="D887" s="396"/>
      <c r="E887" s="397"/>
      <c r="F887" s="3"/>
      <c r="G887" s="3"/>
      <c r="H887" s="3"/>
    </row>
    <row r="888">
      <c r="B888" s="396"/>
      <c r="C888" s="396"/>
      <c r="D888" s="396"/>
      <c r="E888" s="397"/>
      <c r="F888" s="3"/>
      <c r="G888" s="3"/>
      <c r="H888" s="3"/>
    </row>
    <row r="889">
      <c r="B889" s="396"/>
      <c r="C889" s="396"/>
      <c r="D889" s="396"/>
      <c r="E889" s="397"/>
      <c r="F889" s="3"/>
      <c r="G889" s="3"/>
      <c r="H889" s="3"/>
    </row>
    <row r="890">
      <c r="B890" s="396"/>
      <c r="C890" s="396"/>
      <c r="D890" s="396"/>
      <c r="E890" s="397"/>
      <c r="F890" s="3"/>
      <c r="G890" s="3"/>
      <c r="H890" s="3"/>
    </row>
    <row r="891">
      <c r="B891" s="396"/>
      <c r="C891" s="396"/>
      <c r="D891" s="396"/>
      <c r="E891" s="397"/>
      <c r="F891" s="3"/>
      <c r="G891" s="3"/>
      <c r="H891" s="3"/>
    </row>
    <row r="892">
      <c r="B892" s="396"/>
      <c r="C892" s="396"/>
      <c r="D892" s="396"/>
      <c r="E892" s="397"/>
      <c r="F892" s="3"/>
      <c r="G892" s="3"/>
      <c r="H892" s="3"/>
    </row>
    <row r="893">
      <c r="B893" s="396"/>
      <c r="C893" s="396"/>
      <c r="D893" s="396"/>
      <c r="E893" s="397"/>
      <c r="F893" s="3"/>
      <c r="G893" s="3"/>
      <c r="H893" s="3"/>
    </row>
    <row r="894">
      <c r="B894" s="396"/>
      <c r="C894" s="396"/>
      <c r="D894" s="396"/>
      <c r="E894" s="397"/>
      <c r="F894" s="3"/>
      <c r="G894" s="3"/>
      <c r="H894" s="3"/>
    </row>
    <row r="895">
      <c r="B895" s="396"/>
      <c r="C895" s="396"/>
      <c r="D895" s="396"/>
      <c r="E895" s="397"/>
      <c r="F895" s="3"/>
      <c r="G895" s="3"/>
      <c r="H895" s="3"/>
    </row>
    <row r="896">
      <c r="B896" s="396"/>
      <c r="C896" s="396"/>
      <c r="D896" s="396"/>
      <c r="E896" s="397"/>
      <c r="F896" s="3"/>
      <c r="G896" s="3"/>
      <c r="H896" s="3"/>
    </row>
    <row r="897">
      <c r="B897" s="396"/>
      <c r="C897" s="396"/>
      <c r="D897" s="396"/>
      <c r="E897" s="397"/>
      <c r="F897" s="3"/>
      <c r="G897" s="3"/>
      <c r="H897" s="3"/>
    </row>
    <row r="898">
      <c r="B898" s="396"/>
      <c r="C898" s="396"/>
      <c r="D898" s="396"/>
      <c r="E898" s="397"/>
      <c r="F898" s="3"/>
      <c r="G898" s="3"/>
      <c r="H898" s="3"/>
    </row>
    <row r="899">
      <c r="B899" s="396"/>
      <c r="C899" s="396"/>
      <c r="D899" s="396"/>
      <c r="E899" s="397"/>
      <c r="F899" s="3"/>
      <c r="G899" s="3"/>
      <c r="H899" s="3"/>
    </row>
    <row r="900">
      <c r="B900" s="396"/>
      <c r="C900" s="396"/>
      <c r="D900" s="396"/>
      <c r="E900" s="397"/>
      <c r="F900" s="3"/>
      <c r="G900" s="3"/>
      <c r="H900" s="3"/>
    </row>
    <row r="901">
      <c r="B901" s="396"/>
      <c r="C901" s="396"/>
      <c r="D901" s="396"/>
      <c r="E901" s="397"/>
      <c r="F901" s="3"/>
      <c r="G901" s="3"/>
      <c r="H901" s="3"/>
    </row>
    <row r="902">
      <c r="B902" s="396"/>
      <c r="C902" s="396"/>
      <c r="D902" s="396"/>
      <c r="E902" s="397"/>
      <c r="F902" s="3"/>
      <c r="G902" s="3"/>
      <c r="H902" s="3"/>
    </row>
    <row r="903">
      <c r="B903" s="396"/>
      <c r="C903" s="396"/>
      <c r="D903" s="396"/>
      <c r="E903" s="397"/>
      <c r="F903" s="3"/>
      <c r="G903" s="3"/>
      <c r="H903" s="3"/>
    </row>
    <row r="904">
      <c r="B904" s="396"/>
      <c r="C904" s="396"/>
      <c r="D904" s="396"/>
      <c r="E904" s="397"/>
      <c r="F904" s="3"/>
      <c r="G904" s="3"/>
      <c r="H904" s="3"/>
    </row>
    <row r="905">
      <c r="B905" s="396"/>
      <c r="C905" s="396"/>
      <c r="D905" s="396"/>
      <c r="E905" s="397"/>
      <c r="F905" s="3"/>
      <c r="G905" s="3"/>
      <c r="H905" s="3"/>
    </row>
    <row r="906">
      <c r="B906" s="396"/>
      <c r="C906" s="396"/>
      <c r="D906" s="396"/>
      <c r="E906" s="397"/>
      <c r="F906" s="3"/>
      <c r="G906" s="3"/>
      <c r="H906" s="3"/>
    </row>
    <row r="907">
      <c r="B907" s="396"/>
      <c r="C907" s="396"/>
      <c r="D907" s="396"/>
      <c r="E907" s="397"/>
      <c r="F907" s="3"/>
      <c r="G907" s="3"/>
      <c r="H907" s="3"/>
    </row>
    <row r="908">
      <c r="B908" s="396"/>
      <c r="C908" s="396"/>
      <c r="D908" s="396"/>
      <c r="E908" s="397"/>
      <c r="F908" s="3"/>
      <c r="G908" s="3"/>
      <c r="H908" s="3"/>
    </row>
    <row r="909">
      <c r="B909" s="396"/>
      <c r="C909" s="396"/>
      <c r="D909" s="396"/>
      <c r="E909" s="397"/>
      <c r="F909" s="3"/>
      <c r="G909" s="3"/>
      <c r="H909" s="3"/>
    </row>
    <row r="910">
      <c r="B910" s="396"/>
      <c r="C910" s="396"/>
      <c r="D910" s="396"/>
      <c r="E910" s="397"/>
      <c r="F910" s="3"/>
      <c r="G910" s="3"/>
      <c r="H910" s="3"/>
    </row>
    <row r="911">
      <c r="B911" s="396"/>
      <c r="C911" s="396"/>
      <c r="D911" s="396"/>
      <c r="E911" s="397"/>
      <c r="F911" s="3"/>
      <c r="G911" s="3"/>
      <c r="H911" s="3"/>
    </row>
    <row r="912">
      <c r="B912" s="396"/>
      <c r="C912" s="396"/>
      <c r="D912" s="396"/>
      <c r="E912" s="397"/>
      <c r="F912" s="3"/>
      <c r="G912" s="3"/>
      <c r="H912" s="3"/>
    </row>
    <row r="913">
      <c r="B913" s="396"/>
      <c r="C913" s="396"/>
      <c r="D913" s="396"/>
      <c r="E913" s="397"/>
      <c r="F913" s="3"/>
      <c r="G913" s="3"/>
      <c r="H913" s="3"/>
    </row>
    <row r="914">
      <c r="B914" s="396"/>
      <c r="C914" s="396"/>
      <c r="D914" s="396"/>
      <c r="E914" s="397"/>
      <c r="F914" s="3"/>
      <c r="G914" s="3"/>
      <c r="H914" s="3"/>
    </row>
    <row r="915">
      <c r="B915" s="396"/>
      <c r="C915" s="396"/>
      <c r="D915" s="396"/>
      <c r="E915" s="397"/>
      <c r="F915" s="3"/>
      <c r="G915" s="3"/>
      <c r="H915" s="3"/>
    </row>
    <row r="916">
      <c r="B916" s="396"/>
      <c r="C916" s="396"/>
      <c r="D916" s="396"/>
      <c r="E916" s="397"/>
      <c r="F916" s="3"/>
      <c r="G916" s="3"/>
      <c r="H916" s="3"/>
    </row>
    <row r="917">
      <c r="B917" s="396"/>
      <c r="C917" s="396"/>
      <c r="D917" s="396"/>
      <c r="E917" s="397"/>
      <c r="F917" s="3"/>
      <c r="G917" s="3"/>
      <c r="H917" s="3"/>
    </row>
    <row r="918">
      <c r="B918" s="396"/>
      <c r="C918" s="396"/>
      <c r="D918" s="396"/>
      <c r="E918" s="397"/>
      <c r="F918" s="3"/>
      <c r="G918" s="3"/>
      <c r="H918" s="3"/>
    </row>
    <row r="919">
      <c r="B919" s="396"/>
      <c r="C919" s="396"/>
      <c r="D919" s="396"/>
      <c r="E919" s="397"/>
      <c r="F919" s="3"/>
      <c r="G919" s="3"/>
      <c r="H919" s="3"/>
    </row>
    <row r="920">
      <c r="B920" s="396"/>
      <c r="C920" s="396"/>
      <c r="D920" s="396"/>
      <c r="E920" s="397"/>
      <c r="F920" s="3"/>
      <c r="G920" s="3"/>
      <c r="H920" s="3"/>
    </row>
    <row r="921">
      <c r="B921" s="396"/>
      <c r="C921" s="396"/>
      <c r="D921" s="396"/>
      <c r="E921" s="397"/>
      <c r="F921" s="3"/>
      <c r="G921" s="3"/>
      <c r="H921" s="3"/>
    </row>
    <row r="922">
      <c r="B922" s="396"/>
      <c r="C922" s="396"/>
      <c r="D922" s="396"/>
      <c r="E922" s="397"/>
      <c r="F922" s="3"/>
      <c r="G922" s="3"/>
      <c r="H922" s="3"/>
    </row>
    <row r="923">
      <c r="B923" s="396"/>
      <c r="C923" s="396"/>
      <c r="D923" s="396"/>
      <c r="E923" s="397"/>
      <c r="F923" s="3"/>
      <c r="G923" s="3"/>
      <c r="H923" s="3"/>
    </row>
    <row r="924">
      <c r="B924" s="396"/>
      <c r="C924" s="396"/>
      <c r="D924" s="396"/>
      <c r="E924" s="397"/>
      <c r="F924" s="3"/>
      <c r="G924" s="3"/>
      <c r="H924" s="3"/>
    </row>
    <row r="925">
      <c r="B925" s="396"/>
      <c r="C925" s="396"/>
      <c r="D925" s="396"/>
      <c r="E925" s="397"/>
      <c r="F925" s="3"/>
      <c r="G925" s="3"/>
      <c r="H925" s="3"/>
    </row>
    <row r="926">
      <c r="B926" s="396"/>
      <c r="C926" s="396"/>
      <c r="D926" s="396"/>
      <c r="E926" s="397"/>
      <c r="F926" s="3"/>
      <c r="G926" s="3"/>
      <c r="H926" s="3"/>
    </row>
    <row r="927">
      <c r="B927" s="396"/>
      <c r="C927" s="396"/>
      <c r="D927" s="396"/>
      <c r="E927" s="397"/>
      <c r="F927" s="3"/>
      <c r="G927" s="3"/>
      <c r="H927" s="3"/>
    </row>
    <row r="928">
      <c r="B928" s="396"/>
      <c r="C928" s="396"/>
      <c r="D928" s="396"/>
      <c r="E928" s="397"/>
      <c r="F928" s="3"/>
      <c r="G928" s="3"/>
      <c r="H928" s="3"/>
    </row>
    <row r="929">
      <c r="B929" s="396"/>
      <c r="C929" s="396"/>
      <c r="D929" s="396"/>
      <c r="E929" s="397"/>
      <c r="F929" s="3"/>
      <c r="G929" s="3"/>
      <c r="H929" s="3"/>
    </row>
    <row r="930">
      <c r="B930" s="396"/>
      <c r="C930" s="396"/>
      <c r="D930" s="396"/>
      <c r="E930" s="397"/>
      <c r="F930" s="3"/>
      <c r="G930" s="3"/>
      <c r="H930" s="3"/>
    </row>
    <row r="931">
      <c r="B931" s="396"/>
      <c r="C931" s="396"/>
      <c r="D931" s="396"/>
      <c r="E931" s="397"/>
      <c r="F931" s="3"/>
      <c r="G931" s="3"/>
      <c r="H931" s="3"/>
    </row>
    <row r="932">
      <c r="B932" s="396"/>
      <c r="C932" s="396"/>
      <c r="D932" s="396"/>
      <c r="E932" s="397"/>
      <c r="F932" s="3"/>
      <c r="G932" s="3"/>
      <c r="H932" s="3"/>
    </row>
    <row r="933">
      <c r="B933" s="396"/>
      <c r="C933" s="396"/>
      <c r="D933" s="396"/>
      <c r="E933" s="397"/>
      <c r="F933" s="3"/>
      <c r="G933" s="3"/>
      <c r="H933" s="3"/>
    </row>
    <row r="934">
      <c r="B934" s="396"/>
      <c r="C934" s="396"/>
      <c r="D934" s="396"/>
      <c r="E934" s="397"/>
      <c r="F934" s="3"/>
      <c r="G934" s="3"/>
      <c r="H934" s="3"/>
    </row>
    <row r="935">
      <c r="B935" s="396"/>
      <c r="C935" s="396"/>
      <c r="D935" s="396"/>
      <c r="E935" s="397"/>
      <c r="F935" s="3"/>
      <c r="G935" s="3"/>
      <c r="H935" s="3"/>
    </row>
    <row r="936">
      <c r="B936" s="396"/>
      <c r="C936" s="396"/>
      <c r="D936" s="396"/>
      <c r="E936" s="397"/>
      <c r="F936" s="3"/>
      <c r="G936" s="3"/>
      <c r="H936" s="3"/>
    </row>
    <row r="937">
      <c r="B937" s="396"/>
      <c r="C937" s="396"/>
      <c r="D937" s="396"/>
      <c r="E937" s="397"/>
      <c r="F937" s="3"/>
      <c r="G937" s="3"/>
      <c r="H937" s="3"/>
    </row>
    <row r="938">
      <c r="B938" s="396"/>
      <c r="C938" s="396"/>
      <c r="D938" s="396"/>
      <c r="E938" s="397"/>
      <c r="F938" s="3"/>
      <c r="G938" s="3"/>
      <c r="H938" s="3"/>
    </row>
    <row r="939">
      <c r="B939" s="396"/>
      <c r="C939" s="396"/>
      <c r="D939" s="396"/>
      <c r="E939" s="397"/>
      <c r="F939" s="3"/>
      <c r="G939" s="3"/>
      <c r="H939" s="3"/>
    </row>
    <row r="940">
      <c r="B940" s="396"/>
      <c r="C940" s="396"/>
      <c r="D940" s="396"/>
      <c r="E940" s="397"/>
      <c r="F940" s="3"/>
      <c r="G940" s="3"/>
      <c r="H940" s="3"/>
    </row>
    <row r="941">
      <c r="B941" s="396"/>
      <c r="C941" s="396"/>
      <c r="D941" s="396"/>
      <c r="E941" s="397"/>
      <c r="F941" s="3"/>
      <c r="G941" s="3"/>
      <c r="H941" s="3"/>
    </row>
    <row r="942">
      <c r="B942" s="396"/>
      <c r="C942" s="396"/>
      <c r="D942" s="396"/>
      <c r="E942" s="397"/>
      <c r="F942" s="3"/>
      <c r="G942" s="3"/>
      <c r="H942" s="3"/>
    </row>
    <row r="943">
      <c r="B943" s="396"/>
      <c r="C943" s="396"/>
      <c r="D943" s="396"/>
      <c r="E943" s="397"/>
      <c r="F943" s="3"/>
      <c r="G943" s="3"/>
      <c r="H943" s="3"/>
    </row>
    <row r="944">
      <c r="B944" s="396"/>
      <c r="C944" s="396"/>
      <c r="D944" s="396"/>
      <c r="E944" s="397"/>
      <c r="F944" s="3"/>
      <c r="G944" s="3"/>
      <c r="H944" s="3"/>
    </row>
    <row r="945">
      <c r="B945" s="396"/>
      <c r="C945" s="396"/>
      <c r="D945" s="396"/>
      <c r="E945" s="397"/>
      <c r="F945" s="3"/>
      <c r="G945" s="3"/>
      <c r="H945" s="3"/>
    </row>
  </sheetData>
  <autoFilter ref="$B$2:$AD$94"/>
  <mergeCells count="4">
    <mergeCell ref="I32:I35"/>
    <mergeCell ref="J32:J35"/>
    <mergeCell ref="I52:I53"/>
    <mergeCell ref="J52:J53"/>
  </mergeCells>
  <dataValidations>
    <dataValidation type="list" allowBlank="1" showErrorMessage="1" sqref="T3:U106">
      <formula1>"Да,Нет,Это не фронт"</formula1>
    </dataValidation>
    <dataValidation type="list" allowBlank="1" showErrorMessage="1" sqref="N3:N10 N12:N94">
      <formula1>"база данных,интеграция с платежной системой,автоматические уведомления без сложной логики,AI-аналитика,администрирование,эскалация,интеграция с ТГ,другое,интерфейс"</formula1>
    </dataValidation>
    <dataValidation type="list" allowBlank="1" showErrorMessage="1" sqref="M3:M94">
      <formula1>"уже умеет,50/50,Must,Unic,Excite,Features,Eco"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63"/>
    <col customWidth="1" min="2" max="2" width="26.5"/>
    <col customWidth="1" min="3" max="3" width="12.88"/>
    <col customWidth="1" min="4" max="4" width="58.63"/>
    <col customWidth="1" min="5" max="5" width="24.25"/>
    <col customWidth="1" min="6" max="6" width="13.0"/>
    <col customWidth="1" hidden="1" min="7" max="7" width="18.13"/>
    <col customWidth="1" hidden="1" min="8" max="8" width="11.88"/>
    <col customWidth="1" hidden="1" min="9" max="9" width="11.38"/>
    <col customWidth="1" min="10" max="10" width="28.88"/>
    <col customWidth="1" min="11" max="11" width="32.63"/>
    <col customWidth="1" min="12" max="12" width="14.38"/>
    <col customWidth="1" min="13" max="13" width="25.88"/>
  </cols>
  <sheetData>
    <row r="1" ht="52.5" customHeight="1">
      <c r="A1" s="1"/>
      <c r="B1" s="1" t="s">
        <v>64</v>
      </c>
      <c r="C1" s="1" t="s">
        <v>9</v>
      </c>
      <c r="D1" s="1" t="s">
        <v>10</v>
      </c>
      <c r="E1" s="1" t="s">
        <v>255</v>
      </c>
      <c r="F1" s="1" t="s">
        <v>17</v>
      </c>
      <c r="G1" s="1" t="s">
        <v>256</v>
      </c>
      <c r="H1" s="1" t="s">
        <v>11</v>
      </c>
      <c r="I1" s="1" t="s">
        <v>65</v>
      </c>
      <c r="J1" s="1" t="s">
        <v>257</v>
      </c>
      <c r="K1" s="1" t="s">
        <v>67</v>
      </c>
      <c r="L1" s="1" t="s">
        <v>14</v>
      </c>
      <c r="M1" s="1" t="s">
        <v>15</v>
      </c>
      <c r="N1" s="1" t="s">
        <v>16</v>
      </c>
      <c r="O1" s="1" t="s">
        <v>68</v>
      </c>
    </row>
    <row r="2">
      <c r="A2" s="142"/>
      <c r="B2" s="37" t="s">
        <v>9</v>
      </c>
      <c r="C2" s="6" t="s">
        <v>10</v>
      </c>
      <c r="D2" s="6" t="s">
        <v>11</v>
      </c>
      <c r="E2" s="6"/>
      <c r="F2" s="6" t="s">
        <v>17</v>
      </c>
      <c r="G2" s="38" t="s">
        <v>256</v>
      </c>
      <c r="H2" s="6" t="s">
        <v>69</v>
      </c>
      <c r="I2" s="6"/>
      <c r="J2" s="6" t="s">
        <v>12</v>
      </c>
      <c r="K2" s="6" t="s">
        <v>13</v>
      </c>
      <c r="L2" s="6" t="s">
        <v>14</v>
      </c>
      <c r="M2" s="6" t="s">
        <v>15</v>
      </c>
      <c r="N2" s="6" t="s">
        <v>16</v>
      </c>
      <c r="O2" s="38" t="s">
        <v>19</v>
      </c>
    </row>
    <row r="3">
      <c r="A3" s="39">
        <v>1.0</v>
      </c>
      <c r="B3" s="39" t="s">
        <v>70</v>
      </c>
      <c r="C3" s="40" t="s">
        <v>71</v>
      </c>
      <c r="D3" s="40" t="s">
        <v>72</v>
      </c>
      <c r="E3" s="143" t="s">
        <v>258</v>
      </c>
      <c r="F3" s="40">
        <v>16.0</v>
      </c>
      <c r="G3" s="117" t="s">
        <v>259</v>
      </c>
      <c r="H3" s="40"/>
      <c r="I3" s="40"/>
      <c r="J3" s="40" t="s">
        <v>260</v>
      </c>
      <c r="K3" s="40" t="s">
        <v>261</v>
      </c>
      <c r="L3" s="40"/>
      <c r="M3" s="40"/>
      <c r="N3" s="40"/>
      <c r="O3" s="41"/>
    </row>
    <row r="4">
      <c r="A4" s="39">
        <v>2.0</v>
      </c>
      <c r="B4" s="39" t="s">
        <v>70</v>
      </c>
      <c r="C4" s="40" t="s">
        <v>20</v>
      </c>
      <c r="D4" s="40" t="s">
        <v>73</v>
      </c>
      <c r="E4" s="3"/>
      <c r="F4" s="40">
        <v>6.0</v>
      </c>
      <c r="H4" s="40"/>
      <c r="I4" s="40"/>
      <c r="J4" s="40" t="s">
        <v>260</v>
      </c>
      <c r="K4" s="40" t="s">
        <v>262</v>
      </c>
      <c r="L4" s="40"/>
      <c r="M4" s="40"/>
      <c r="N4" s="40"/>
      <c r="O4" s="41"/>
    </row>
    <row r="5">
      <c r="A5" s="39">
        <v>3.0</v>
      </c>
      <c r="B5" s="39" t="s">
        <v>70</v>
      </c>
      <c r="C5" s="40" t="s">
        <v>20</v>
      </c>
      <c r="D5" s="40" t="s">
        <v>74</v>
      </c>
      <c r="E5" s="3"/>
      <c r="F5" s="40">
        <v>10.0</v>
      </c>
      <c r="H5" s="40"/>
      <c r="I5" s="40"/>
      <c r="J5" s="40" t="s">
        <v>260</v>
      </c>
      <c r="K5" s="40" t="s">
        <v>262</v>
      </c>
      <c r="L5" s="40"/>
      <c r="M5" s="40"/>
      <c r="N5" s="40"/>
      <c r="O5" s="41"/>
    </row>
    <row r="6">
      <c r="A6" s="39">
        <v>4.0</v>
      </c>
      <c r="B6" s="39"/>
      <c r="C6" s="40" t="s">
        <v>20</v>
      </c>
      <c r="D6" s="42" t="s">
        <v>75</v>
      </c>
      <c r="E6" s="3"/>
      <c r="F6" s="40"/>
      <c r="H6" s="40"/>
      <c r="I6" s="40"/>
      <c r="J6" s="40" t="s">
        <v>260</v>
      </c>
      <c r="K6" s="40" t="s">
        <v>261</v>
      </c>
      <c r="L6" s="40"/>
      <c r="M6" s="40"/>
      <c r="N6" s="40"/>
      <c r="O6" s="41"/>
    </row>
    <row r="7">
      <c r="A7" s="39">
        <v>5.0</v>
      </c>
      <c r="B7" s="39" t="s">
        <v>70</v>
      </c>
      <c r="C7" s="42" t="s">
        <v>71</v>
      </c>
      <c r="D7" s="42" t="s">
        <v>76</v>
      </c>
      <c r="E7" s="3"/>
      <c r="F7" s="40"/>
      <c r="H7" s="40"/>
      <c r="I7" s="40"/>
      <c r="J7" s="40" t="s">
        <v>260</v>
      </c>
      <c r="K7" s="40" t="s">
        <v>261</v>
      </c>
      <c r="L7" s="40"/>
      <c r="M7" s="40"/>
      <c r="N7" s="40"/>
      <c r="O7" s="41"/>
    </row>
    <row r="8">
      <c r="A8" s="39">
        <v>6.0</v>
      </c>
      <c r="B8" s="39" t="s">
        <v>70</v>
      </c>
      <c r="C8" s="42" t="s">
        <v>71</v>
      </c>
      <c r="D8" s="42" t="s">
        <v>77</v>
      </c>
      <c r="E8" s="3"/>
      <c r="F8" s="40">
        <v>16.0</v>
      </c>
      <c r="H8" s="40"/>
      <c r="I8" s="40"/>
      <c r="J8" s="40" t="s">
        <v>260</v>
      </c>
      <c r="K8" s="40" t="s">
        <v>263</v>
      </c>
      <c r="L8" s="40"/>
      <c r="M8" s="40"/>
      <c r="N8" s="40"/>
      <c r="O8" s="41"/>
    </row>
    <row r="9">
      <c r="A9" s="39">
        <v>7.0</v>
      </c>
      <c r="B9" s="39" t="s">
        <v>70</v>
      </c>
      <c r="C9" s="42" t="s">
        <v>71</v>
      </c>
      <c r="D9" s="42" t="s">
        <v>78</v>
      </c>
      <c r="E9" s="3"/>
      <c r="F9" s="40">
        <v>10.0</v>
      </c>
      <c r="H9" s="40"/>
      <c r="I9" s="40"/>
      <c r="J9" s="40" t="s">
        <v>260</v>
      </c>
      <c r="K9" s="40" t="s">
        <v>263</v>
      </c>
      <c r="L9" s="40"/>
      <c r="M9" s="40"/>
      <c r="N9" s="40"/>
      <c r="O9" s="41"/>
    </row>
    <row r="10">
      <c r="A10" s="39">
        <v>8.0</v>
      </c>
      <c r="B10" s="39" t="s">
        <v>70</v>
      </c>
      <c r="C10" s="42" t="s">
        <v>20</v>
      </c>
      <c r="D10" s="42" t="s">
        <v>79</v>
      </c>
      <c r="E10" s="144" t="s">
        <v>264</v>
      </c>
      <c r="F10" s="40">
        <v>12.0</v>
      </c>
      <c r="G10" s="117" t="s">
        <v>265</v>
      </c>
      <c r="H10" s="40"/>
      <c r="I10" s="40"/>
      <c r="J10" s="40" t="s">
        <v>266</v>
      </c>
      <c r="K10" s="40"/>
      <c r="L10" s="40"/>
      <c r="M10" s="40"/>
      <c r="N10" s="40"/>
      <c r="O10" s="41"/>
    </row>
    <row r="11">
      <c r="A11" s="39">
        <v>9.0</v>
      </c>
      <c r="B11" s="39" t="s">
        <v>70</v>
      </c>
      <c r="C11" s="42" t="s">
        <v>71</v>
      </c>
      <c r="D11" s="42" t="s">
        <v>80</v>
      </c>
      <c r="E11" s="3"/>
      <c r="F11" s="40"/>
      <c r="H11" s="40"/>
      <c r="I11" s="40"/>
      <c r="J11" s="40" t="s">
        <v>260</v>
      </c>
      <c r="K11" s="40" t="s">
        <v>263</v>
      </c>
      <c r="L11" s="40"/>
      <c r="M11" s="40"/>
      <c r="N11" s="40"/>
      <c r="O11" s="43"/>
    </row>
    <row r="12">
      <c r="A12" s="39">
        <v>10.0</v>
      </c>
      <c r="B12" s="39" t="s">
        <v>70</v>
      </c>
      <c r="C12" s="42" t="s">
        <v>20</v>
      </c>
      <c r="D12" s="42" t="s">
        <v>81</v>
      </c>
      <c r="E12" s="3"/>
      <c r="F12" s="40">
        <v>24.0</v>
      </c>
      <c r="H12" s="40"/>
      <c r="I12" s="40"/>
      <c r="J12" s="40" t="s">
        <v>260</v>
      </c>
      <c r="K12" s="40"/>
      <c r="L12" s="40"/>
      <c r="M12" s="40"/>
      <c r="N12" s="40"/>
      <c r="O12" s="43"/>
    </row>
    <row r="13">
      <c r="A13" s="39">
        <v>11.0</v>
      </c>
      <c r="B13" s="39" t="s">
        <v>70</v>
      </c>
      <c r="C13" s="42" t="s">
        <v>20</v>
      </c>
      <c r="D13" s="42" t="s">
        <v>82</v>
      </c>
      <c r="E13" s="144" t="s">
        <v>267</v>
      </c>
      <c r="F13" s="40"/>
      <c r="G13" s="117" t="s">
        <v>268</v>
      </c>
      <c r="H13" s="40"/>
      <c r="I13" s="40"/>
      <c r="J13" s="40" t="s">
        <v>260</v>
      </c>
      <c r="K13" s="40" t="s">
        <v>261</v>
      </c>
      <c r="L13" s="40"/>
      <c r="M13" s="40"/>
      <c r="N13" s="40"/>
      <c r="O13" s="43"/>
    </row>
    <row r="14">
      <c r="A14" s="39">
        <v>12.0</v>
      </c>
      <c r="B14" s="39" t="s">
        <v>70</v>
      </c>
      <c r="C14" s="44" t="s">
        <v>20</v>
      </c>
      <c r="D14" s="42" t="s">
        <v>83</v>
      </c>
      <c r="E14" s="3"/>
      <c r="F14" s="40">
        <v>6.0</v>
      </c>
      <c r="H14" s="40"/>
      <c r="I14" s="40"/>
      <c r="J14" s="40" t="s">
        <v>260</v>
      </c>
      <c r="K14" s="40" t="s">
        <v>269</v>
      </c>
      <c r="L14" s="40"/>
      <c r="M14" s="40"/>
      <c r="N14" s="40"/>
      <c r="O14" s="45"/>
    </row>
    <row r="15">
      <c r="A15" s="39">
        <v>13.0</v>
      </c>
      <c r="B15" s="39" t="s">
        <v>70</v>
      </c>
      <c r="C15" s="42" t="s">
        <v>20</v>
      </c>
      <c r="D15" s="42" t="s">
        <v>84</v>
      </c>
      <c r="E15" s="144" t="s">
        <v>270</v>
      </c>
      <c r="F15" s="40">
        <v>4.0</v>
      </c>
      <c r="G15" s="117" t="s">
        <v>268</v>
      </c>
      <c r="H15" s="40"/>
      <c r="I15" s="40"/>
      <c r="J15" s="40" t="s">
        <v>260</v>
      </c>
      <c r="K15" s="40" t="s">
        <v>261</v>
      </c>
      <c r="L15" s="40"/>
      <c r="M15" s="40"/>
      <c r="N15" s="40"/>
      <c r="O15" s="43"/>
    </row>
    <row r="16">
      <c r="A16" s="39">
        <v>14.0</v>
      </c>
      <c r="B16" s="39" t="s">
        <v>70</v>
      </c>
      <c r="C16" s="42" t="s">
        <v>20</v>
      </c>
      <c r="D16" s="42" t="s">
        <v>85</v>
      </c>
      <c r="E16" s="3"/>
      <c r="F16" s="40">
        <v>4.0</v>
      </c>
      <c r="H16" s="40"/>
      <c r="I16" s="40"/>
      <c r="J16" s="40" t="s">
        <v>260</v>
      </c>
      <c r="K16" s="40" t="s">
        <v>269</v>
      </c>
      <c r="L16" s="40"/>
      <c r="M16" s="40"/>
      <c r="N16" s="40"/>
      <c r="O16" s="43"/>
    </row>
    <row r="17">
      <c r="A17" s="39">
        <v>15.0</v>
      </c>
      <c r="B17" s="39" t="s">
        <v>70</v>
      </c>
      <c r="C17" s="42" t="s">
        <v>20</v>
      </c>
      <c r="D17" s="42" t="s">
        <v>86</v>
      </c>
      <c r="E17" s="3"/>
      <c r="F17" s="40"/>
      <c r="H17" s="40"/>
      <c r="I17" s="40"/>
      <c r="J17" s="40" t="s">
        <v>260</v>
      </c>
      <c r="K17" s="40" t="s">
        <v>269</v>
      </c>
      <c r="L17" s="40"/>
      <c r="M17" s="40"/>
      <c r="N17" s="40"/>
      <c r="O17" s="43"/>
    </row>
    <row r="18">
      <c r="A18" s="39">
        <v>16.0</v>
      </c>
      <c r="B18" s="46" t="s">
        <v>87</v>
      </c>
      <c r="C18" s="47" t="s">
        <v>88</v>
      </c>
      <c r="D18" s="47" t="s">
        <v>89</v>
      </c>
      <c r="E18" s="144" t="s">
        <v>271</v>
      </c>
      <c r="F18" s="48">
        <v>32.0</v>
      </c>
      <c r="G18" s="118" t="s">
        <v>272</v>
      </c>
      <c r="H18" s="48"/>
      <c r="I18" s="48"/>
      <c r="J18" s="40" t="s">
        <v>260</v>
      </c>
      <c r="K18" s="48" t="s">
        <v>269</v>
      </c>
      <c r="L18" s="50"/>
      <c r="M18" s="50"/>
      <c r="N18" s="50"/>
      <c r="O18" s="51"/>
    </row>
    <row r="19" ht="30.0" customHeight="1">
      <c r="A19" s="39">
        <v>17.0</v>
      </c>
      <c r="B19" s="145" t="s">
        <v>87</v>
      </c>
      <c r="C19" s="48" t="s">
        <v>20</v>
      </c>
      <c r="D19" s="48" t="s">
        <v>273</v>
      </c>
      <c r="E19" s="118"/>
      <c r="F19" s="50"/>
      <c r="H19" s="48"/>
      <c r="I19" s="48"/>
      <c r="J19" s="40" t="s">
        <v>260</v>
      </c>
      <c r="K19" s="48"/>
      <c r="L19" s="50"/>
      <c r="M19" s="50"/>
      <c r="N19" s="50"/>
      <c r="O19" s="51"/>
    </row>
    <row r="20">
      <c r="A20" s="39">
        <v>18.0</v>
      </c>
      <c r="B20" s="52" t="s">
        <v>87</v>
      </c>
      <c r="C20" s="48" t="s">
        <v>20</v>
      </c>
      <c r="D20" s="48" t="s">
        <v>274</v>
      </c>
      <c r="E20" s="144" t="s">
        <v>275</v>
      </c>
      <c r="F20" s="50"/>
      <c r="G20" s="117" t="s">
        <v>276</v>
      </c>
      <c r="H20" s="48"/>
      <c r="I20" s="48"/>
      <c r="J20" s="40" t="s">
        <v>266</v>
      </c>
      <c r="K20" s="48" t="s">
        <v>277</v>
      </c>
      <c r="L20" s="50"/>
      <c r="M20" s="50"/>
      <c r="N20" s="50"/>
      <c r="O20" s="51"/>
    </row>
    <row r="21">
      <c r="A21" s="39">
        <v>19.0</v>
      </c>
      <c r="B21" s="52" t="s">
        <v>87</v>
      </c>
      <c r="C21" s="48" t="s">
        <v>20</v>
      </c>
      <c r="D21" s="48" t="s">
        <v>91</v>
      </c>
      <c r="E21" s="146" t="s">
        <v>278</v>
      </c>
      <c r="F21" s="48">
        <v>16.0</v>
      </c>
      <c r="G21" s="117" t="s">
        <v>279</v>
      </c>
      <c r="H21" s="48"/>
      <c r="I21" s="48"/>
      <c r="J21" s="40" t="s">
        <v>280</v>
      </c>
      <c r="K21" s="48" t="s">
        <v>269</v>
      </c>
      <c r="L21" s="50"/>
      <c r="M21" s="50"/>
      <c r="N21" s="50"/>
      <c r="O21" s="51"/>
    </row>
    <row r="22">
      <c r="A22" s="39">
        <v>20.0</v>
      </c>
      <c r="B22" s="52" t="s">
        <v>87</v>
      </c>
      <c r="C22" s="48" t="s">
        <v>20</v>
      </c>
      <c r="D22" s="48" t="s">
        <v>92</v>
      </c>
      <c r="E22" s="118" t="s">
        <v>281</v>
      </c>
      <c r="F22" s="50"/>
      <c r="H22" s="48"/>
      <c r="I22" s="48"/>
      <c r="J22" s="40" t="s">
        <v>260</v>
      </c>
      <c r="K22" s="48" t="s">
        <v>277</v>
      </c>
      <c r="L22" s="50"/>
      <c r="M22" s="50"/>
      <c r="N22" s="50"/>
      <c r="O22" s="51"/>
    </row>
    <row r="23">
      <c r="A23" s="39">
        <v>21.0</v>
      </c>
      <c r="B23" s="52" t="s">
        <v>87</v>
      </c>
      <c r="C23" s="48" t="s">
        <v>20</v>
      </c>
      <c r="D23" s="48" t="s">
        <v>93</v>
      </c>
      <c r="E23" s="118" t="s">
        <v>282</v>
      </c>
      <c r="F23" s="48">
        <v>8.0</v>
      </c>
      <c r="H23" s="48"/>
      <c r="I23" s="48"/>
      <c r="J23" s="40" t="s">
        <v>283</v>
      </c>
      <c r="K23" s="48" t="s">
        <v>277</v>
      </c>
      <c r="L23" s="50"/>
      <c r="M23" s="50"/>
      <c r="N23" s="50"/>
      <c r="O23" s="51"/>
    </row>
    <row r="24">
      <c r="A24" s="39">
        <v>22.0</v>
      </c>
      <c r="B24" s="52" t="s">
        <v>87</v>
      </c>
      <c r="C24" s="48" t="s">
        <v>20</v>
      </c>
      <c r="D24" s="48" t="s">
        <v>94</v>
      </c>
      <c r="E24" s="3"/>
      <c r="F24" s="48">
        <v>2.0</v>
      </c>
      <c r="H24" s="48"/>
      <c r="I24" s="48"/>
      <c r="J24" s="40" t="s">
        <v>260</v>
      </c>
      <c r="K24" s="48" t="s">
        <v>277</v>
      </c>
      <c r="L24" s="50"/>
      <c r="M24" s="50"/>
      <c r="N24" s="50"/>
      <c r="O24" s="51"/>
    </row>
    <row r="25">
      <c r="A25" s="39">
        <v>23.0</v>
      </c>
      <c r="B25" s="52" t="s">
        <v>87</v>
      </c>
      <c r="C25" s="48" t="s">
        <v>20</v>
      </c>
      <c r="D25" s="48" t="s">
        <v>95</v>
      </c>
      <c r="E25" s="3"/>
      <c r="F25" s="48">
        <v>2.0</v>
      </c>
      <c r="H25" s="48"/>
      <c r="I25" s="48"/>
      <c r="J25" s="40" t="s">
        <v>260</v>
      </c>
      <c r="K25" s="48" t="s">
        <v>269</v>
      </c>
      <c r="L25" s="50"/>
      <c r="M25" s="50"/>
      <c r="N25" s="50"/>
      <c r="O25" s="51"/>
    </row>
    <row r="26">
      <c r="A26" s="39">
        <v>24.0</v>
      </c>
      <c r="B26" s="52" t="s">
        <v>87</v>
      </c>
      <c r="C26" s="48" t="s">
        <v>20</v>
      </c>
      <c r="D26" s="48" t="s">
        <v>96</v>
      </c>
      <c r="E26" s="146" t="s">
        <v>284</v>
      </c>
      <c r="F26" s="50"/>
      <c r="G26" s="117" t="s">
        <v>285</v>
      </c>
      <c r="H26" s="48"/>
      <c r="I26" s="48"/>
      <c r="J26" s="40" t="s">
        <v>266</v>
      </c>
      <c r="K26" s="48" t="s">
        <v>277</v>
      </c>
      <c r="L26" s="50"/>
      <c r="M26" s="50"/>
      <c r="N26" s="50"/>
      <c r="O26" s="51"/>
    </row>
    <row r="27">
      <c r="A27" s="39">
        <v>25.0</v>
      </c>
      <c r="B27" s="52" t="s">
        <v>87</v>
      </c>
      <c r="C27" s="48" t="s">
        <v>20</v>
      </c>
      <c r="D27" s="48" t="s">
        <v>97</v>
      </c>
      <c r="E27" s="118" t="s">
        <v>286</v>
      </c>
      <c r="F27" s="48">
        <v>48.0</v>
      </c>
      <c r="G27" s="117" t="s">
        <v>287</v>
      </c>
      <c r="H27" s="48" t="s">
        <v>98</v>
      </c>
      <c r="I27" s="48"/>
      <c r="J27" s="40" t="s">
        <v>283</v>
      </c>
      <c r="K27" s="48" t="s">
        <v>277</v>
      </c>
      <c r="L27" s="50"/>
      <c r="M27" s="50"/>
      <c r="N27" s="50"/>
      <c r="O27" s="51"/>
    </row>
    <row r="28">
      <c r="A28" s="39">
        <v>26.0</v>
      </c>
      <c r="B28" s="52" t="s">
        <v>87</v>
      </c>
      <c r="C28" s="48" t="s">
        <v>20</v>
      </c>
      <c r="D28" s="48" t="s">
        <v>99</v>
      </c>
      <c r="E28" s="147" t="s">
        <v>288</v>
      </c>
      <c r="F28" s="48">
        <v>80.0</v>
      </c>
      <c r="G28" s="117" t="s">
        <v>287</v>
      </c>
      <c r="H28" s="48"/>
      <c r="I28" s="48"/>
      <c r="J28" s="40" t="s">
        <v>283</v>
      </c>
      <c r="K28" s="48" t="s">
        <v>277</v>
      </c>
      <c r="L28" s="50"/>
      <c r="M28" s="50"/>
      <c r="N28" s="50"/>
      <c r="O28" s="51"/>
    </row>
    <row r="29">
      <c r="A29" s="39">
        <v>27.0</v>
      </c>
      <c r="B29" s="52" t="s">
        <v>87</v>
      </c>
      <c r="C29" s="48" t="s">
        <v>20</v>
      </c>
      <c r="D29" s="48" t="s">
        <v>100</v>
      </c>
      <c r="E29" s="148" t="str">
        <f>E23</f>
        <v>Docx и Doc, текстовые документы, PDF, PPTX переносить на отдельную модель котороая может принимать документы пример: openai/gpt-5-nano</v>
      </c>
      <c r="F29" s="48">
        <v>80.0</v>
      </c>
      <c r="G29" s="117" t="s">
        <v>287</v>
      </c>
      <c r="H29" s="48"/>
      <c r="I29" s="48"/>
      <c r="J29" s="40" t="s">
        <v>283</v>
      </c>
      <c r="K29" s="48" t="s">
        <v>277</v>
      </c>
      <c r="L29" s="50"/>
      <c r="M29" s="50"/>
      <c r="N29" s="50"/>
      <c r="O29" s="53"/>
    </row>
    <row r="30">
      <c r="A30" s="39">
        <v>28.0</v>
      </c>
      <c r="B30" s="52" t="s">
        <v>87</v>
      </c>
      <c r="C30" s="48" t="s">
        <v>20</v>
      </c>
      <c r="D30" s="48" t="s">
        <v>101</v>
      </c>
      <c r="E30" s="118" t="s">
        <v>289</v>
      </c>
      <c r="F30" s="50"/>
      <c r="H30" s="48"/>
      <c r="I30" s="48"/>
      <c r="J30" s="40" t="s">
        <v>266</v>
      </c>
      <c r="K30" s="48" t="s">
        <v>269</v>
      </c>
      <c r="L30" s="50"/>
      <c r="M30" s="50"/>
      <c r="N30" s="50"/>
      <c r="O30" s="53"/>
    </row>
    <row r="31">
      <c r="A31" s="39">
        <v>29.0</v>
      </c>
      <c r="B31" s="52" t="s">
        <v>87</v>
      </c>
      <c r="C31" s="48" t="s">
        <v>20</v>
      </c>
      <c r="D31" s="48" t="s">
        <v>102</v>
      </c>
      <c r="E31" s="118" t="s">
        <v>290</v>
      </c>
      <c r="F31" s="48">
        <v>36.0</v>
      </c>
      <c r="H31" s="49"/>
      <c r="I31" s="49"/>
      <c r="J31" s="40" t="s">
        <v>260</v>
      </c>
      <c r="K31" s="48" t="s">
        <v>263</v>
      </c>
      <c r="L31" s="50"/>
      <c r="M31" s="50"/>
      <c r="N31" s="50"/>
      <c r="O31" s="54"/>
    </row>
    <row r="32">
      <c r="A32" s="39">
        <v>30.0</v>
      </c>
      <c r="B32" s="52" t="s">
        <v>87</v>
      </c>
      <c r="C32" s="48" t="s">
        <v>20</v>
      </c>
      <c r="D32" s="48" t="s">
        <v>103</v>
      </c>
      <c r="E32" s="147" t="s">
        <v>291</v>
      </c>
      <c r="F32" s="48">
        <v>24.0</v>
      </c>
      <c r="G32" s="117" t="s">
        <v>292</v>
      </c>
      <c r="H32" s="48"/>
      <c r="I32" s="48"/>
      <c r="J32" s="40" t="s">
        <v>283</v>
      </c>
      <c r="K32" s="48" t="s">
        <v>269</v>
      </c>
      <c r="L32" s="50"/>
      <c r="M32" s="50"/>
      <c r="N32" s="50"/>
      <c r="O32" s="54"/>
    </row>
    <row r="33" hidden="1">
      <c r="A33" s="39">
        <v>31.0</v>
      </c>
      <c r="B33" s="52"/>
      <c r="C33" s="48"/>
      <c r="D33" s="48"/>
      <c r="E33" s="118"/>
      <c r="F33" s="48"/>
      <c r="H33" s="48"/>
      <c r="I33" s="48"/>
      <c r="J33" s="40"/>
      <c r="K33" s="48"/>
      <c r="L33" s="50"/>
      <c r="M33" s="50"/>
      <c r="N33" s="50"/>
      <c r="O33" s="54"/>
    </row>
    <row r="34">
      <c r="A34" s="39">
        <v>32.0</v>
      </c>
      <c r="B34" s="52" t="s">
        <v>87</v>
      </c>
      <c r="C34" s="48" t="s">
        <v>71</v>
      </c>
      <c r="D34" s="48" t="s">
        <v>104</v>
      </c>
      <c r="E34" s="118" t="s">
        <v>293</v>
      </c>
      <c r="F34" s="48">
        <v>12.0</v>
      </c>
      <c r="H34" s="48"/>
      <c r="I34" s="48"/>
      <c r="J34" s="40" t="s">
        <v>283</v>
      </c>
      <c r="K34" s="48" t="s">
        <v>269</v>
      </c>
      <c r="L34" s="50"/>
      <c r="M34" s="50"/>
      <c r="N34" s="50"/>
      <c r="O34" s="54"/>
    </row>
    <row r="35">
      <c r="A35" s="39">
        <v>33.0</v>
      </c>
      <c r="B35" s="52" t="s">
        <v>87</v>
      </c>
      <c r="C35" s="48" t="s">
        <v>71</v>
      </c>
      <c r="D35" s="55" t="s">
        <v>105</v>
      </c>
      <c r="E35" s="147" t="s">
        <v>294</v>
      </c>
      <c r="F35" s="57"/>
      <c r="G35" s="117" t="s">
        <v>292</v>
      </c>
      <c r="H35" s="55"/>
      <c r="I35" s="55"/>
      <c r="J35" s="40" t="s">
        <v>266</v>
      </c>
      <c r="K35" s="48" t="s">
        <v>277</v>
      </c>
      <c r="L35" s="57"/>
      <c r="M35" s="57"/>
      <c r="N35" s="57"/>
      <c r="O35" s="58"/>
    </row>
    <row r="36">
      <c r="A36" s="39">
        <v>34.0</v>
      </c>
      <c r="B36" s="52" t="s">
        <v>87</v>
      </c>
      <c r="C36" s="48" t="s">
        <v>71</v>
      </c>
      <c r="D36" s="55" t="s">
        <v>106</v>
      </c>
      <c r="E36" s="3"/>
      <c r="F36" s="48">
        <v>6.0</v>
      </c>
      <c r="H36" s="48"/>
      <c r="I36" s="48"/>
      <c r="J36" s="40" t="s">
        <v>266</v>
      </c>
      <c r="K36" s="48" t="s">
        <v>277</v>
      </c>
      <c r="L36" s="50"/>
      <c r="M36" s="50"/>
      <c r="N36" s="50"/>
      <c r="O36" s="53"/>
    </row>
    <row r="37">
      <c r="A37" s="39">
        <v>35.0</v>
      </c>
      <c r="B37" s="52" t="s">
        <v>87</v>
      </c>
      <c r="C37" s="48" t="s">
        <v>71</v>
      </c>
      <c r="D37" s="55" t="s">
        <v>107</v>
      </c>
      <c r="E37" s="147" t="s">
        <v>295</v>
      </c>
      <c r="F37" s="48">
        <v>24.0</v>
      </c>
      <c r="H37" s="48"/>
      <c r="I37" s="48"/>
      <c r="J37" s="40" t="s">
        <v>266</v>
      </c>
      <c r="K37" s="48" t="s">
        <v>269</v>
      </c>
      <c r="L37" s="50"/>
      <c r="M37" s="50"/>
      <c r="N37" s="50"/>
      <c r="O37" s="53"/>
    </row>
    <row r="38">
      <c r="A38" s="39">
        <v>36.0</v>
      </c>
      <c r="B38" s="52" t="s">
        <v>87</v>
      </c>
      <c r="C38" s="48" t="s">
        <v>71</v>
      </c>
      <c r="D38" s="55" t="s">
        <v>108</v>
      </c>
      <c r="E38" s="149" t="s">
        <v>296</v>
      </c>
      <c r="F38" s="50"/>
      <c r="H38" s="48"/>
      <c r="I38" s="48"/>
      <c r="J38" s="40" t="s">
        <v>260</v>
      </c>
      <c r="K38" s="48" t="s">
        <v>269</v>
      </c>
      <c r="L38" s="50"/>
      <c r="M38" s="50"/>
      <c r="N38" s="50"/>
      <c r="O38" s="53"/>
    </row>
    <row r="39">
      <c r="A39" s="39">
        <v>37.0</v>
      </c>
      <c r="B39" s="52" t="s">
        <v>87</v>
      </c>
      <c r="C39" s="55" t="s">
        <v>109</v>
      </c>
      <c r="D39" s="55" t="s">
        <v>110</v>
      </c>
      <c r="E39" s="3"/>
      <c r="F39" s="48">
        <v>2.0</v>
      </c>
      <c r="H39" s="48"/>
      <c r="I39" s="48"/>
      <c r="J39" s="40" t="s">
        <v>260</v>
      </c>
      <c r="K39" s="48" t="s">
        <v>261</v>
      </c>
      <c r="L39" s="50"/>
      <c r="M39" s="50"/>
      <c r="N39" s="50"/>
      <c r="O39" s="53"/>
    </row>
    <row r="40">
      <c r="A40" s="39">
        <v>38.0</v>
      </c>
      <c r="B40" s="52" t="s">
        <v>87</v>
      </c>
      <c r="C40" s="55" t="s">
        <v>109</v>
      </c>
      <c r="D40" s="48" t="s">
        <v>111</v>
      </c>
      <c r="E40" s="147" t="s">
        <v>297</v>
      </c>
      <c r="F40" s="50"/>
      <c r="H40" s="48"/>
      <c r="I40" s="48"/>
      <c r="J40" s="40" t="s">
        <v>260</v>
      </c>
      <c r="K40" s="48" t="s">
        <v>269</v>
      </c>
      <c r="L40" s="50"/>
      <c r="M40" s="50"/>
      <c r="N40" s="50"/>
      <c r="O40" s="53"/>
    </row>
    <row r="41">
      <c r="A41" s="39">
        <v>39.0</v>
      </c>
      <c r="B41" s="52" t="s">
        <v>87</v>
      </c>
      <c r="C41" s="55" t="s">
        <v>109</v>
      </c>
      <c r="D41" s="48" t="s">
        <v>112</v>
      </c>
      <c r="E41" s="118" t="s">
        <v>298</v>
      </c>
      <c r="F41" s="48">
        <v>30.0</v>
      </c>
      <c r="H41" s="48"/>
      <c r="I41" s="48"/>
      <c r="J41" s="40" t="s">
        <v>260</v>
      </c>
      <c r="K41" s="48" t="s">
        <v>261</v>
      </c>
      <c r="L41" s="50"/>
      <c r="M41" s="50"/>
      <c r="N41" s="50"/>
      <c r="O41" s="53"/>
    </row>
    <row r="42">
      <c r="A42" s="39">
        <v>40.0</v>
      </c>
      <c r="B42" s="52" t="s">
        <v>87</v>
      </c>
      <c r="C42" s="55" t="s">
        <v>109</v>
      </c>
      <c r="D42" s="48" t="s">
        <v>113</v>
      </c>
      <c r="E42" s="118"/>
      <c r="F42" s="48">
        <v>8.0</v>
      </c>
      <c r="H42" s="48"/>
      <c r="I42" s="48"/>
      <c r="J42" s="40" t="s">
        <v>260</v>
      </c>
      <c r="K42" s="48" t="s">
        <v>261</v>
      </c>
      <c r="L42" s="50"/>
      <c r="M42" s="50"/>
      <c r="N42" s="50"/>
      <c r="O42" s="53"/>
    </row>
    <row r="43">
      <c r="A43" s="39">
        <v>41.0</v>
      </c>
      <c r="B43" s="60" t="s">
        <v>114</v>
      </c>
      <c r="C43" s="61" t="s">
        <v>88</v>
      </c>
      <c r="D43" s="150" t="s">
        <v>115</v>
      </c>
      <c r="E43" s="3"/>
      <c r="F43" s="151">
        <v>4.0</v>
      </c>
      <c r="H43" s="62"/>
      <c r="I43" s="62"/>
      <c r="J43" s="40" t="s">
        <v>260</v>
      </c>
      <c r="K43" s="48" t="s">
        <v>269</v>
      </c>
      <c r="L43" s="64"/>
      <c r="M43" s="64"/>
      <c r="N43" s="64"/>
      <c r="O43" s="65"/>
    </row>
    <row r="44">
      <c r="A44" s="39">
        <v>42.0</v>
      </c>
      <c r="B44" s="60" t="s">
        <v>114</v>
      </c>
      <c r="C44" s="61" t="s">
        <v>88</v>
      </c>
      <c r="D44" s="150" t="s">
        <v>116</v>
      </c>
      <c r="E44" s="118" t="s">
        <v>299</v>
      </c>
      <c r="H44" s="62"/>
      <c r="I44" s="62"/>
      <c r="J44" s="40" t="s">
        <v>260</v>
      </c>
      <c r="K44" s="48" t="s">
        <v>269</v>
      </c>
      <c r="L44" s="64"/>
      <c r="M44" s="64"/>
      <c r="N44" s="64"/>
      <c r="O44" s="65"/>
    </row>
    <row r="45">
      <c r="A45" s="39">
        <v>43.0</v>
      </c>
      <c r="B45" s="60" t="s">
        <v>114</v>
      </c>
      <c r="C45" s="61" t="s">
        <v>88</v>
      </c>
      <c r="D45" s="150" t="s">
        <v>117</v>
      </c>
      <c r="E45" s="3"/>
      <c r="H45" s="62"/>
      <c r="I45" s="62"/>
      <c r="J45" s="40" t="s">
        <v>260</v>
      </c>
      <c r="K45" s="48" t="s">
        <v>269</v>
      </c>
      <c r="L45" s="64"/>
      <c r="M45" s="64"/>
      <c r="N45" s="64"/>
      <c r="O45" s="65"/>
    </row>
    <row r="46">
      <c r="A46" s="39">
        <v>44.0</v>
      </c>
      <c r="B46" s="60" t="s">
        <v>118</v>
      </c>
      <c r="C46" s="61" t="s">
        <v>88</v>
      </c>
      <c r="D46" s="150" t="s">
        <v>119</v>
      </c>
      <c r="E46" s="3"/>
      <c r="H46" s="61"/>
      <c r="I46" s="61"/>
      <c r="J46" s="40" t="s">
        <v>260</v>
      </c>
      <c r="K46" s="48" t="s">
        <v>269</v>
      </c>
      <c r="L46" s="67"/>
      <c r="M46" s="67"/>
      <c r="N46" s="67"/>
      <c r="O46" s="68"/>
    </row>
    <row r="47">
      <c r="A47" s="39">
        <v>45.0</v>
      </c>
      <c r="B47" s="60" t="s">
        <v>118</v>
      </c>
      <c r="C47" s="62" t="s">
        <v>20</v>
      </c>
      <c r="D47" s="62" t="s">
        <v>120</v>
      </c>
      <c r="E47" s="118" t="s">
        <v>300</v>
      </c>
      <c r="F47" s="61">
        <v>24.0</v>
      </c>
      <c r="H47" s="62"/>
      <c r="I47" s="61"/>
      <c r="J47" s="40" t="s">
        <v>280</v>
      </c>
      <c r="K47" s="48" t="s">
        <v>269</v>
      </c>
      <c r="L47" s="67"/>
      <c r="M47" s="67"/>
      <c r="N47" s="67"/>
      <c r="O47" s="68"/>
    </row>
    <row r="48">
      <c r="A48" s="39">
        <v>46.0</v>
      </c>
      <c r="B48" s="60" t="s">
        <v>118</v>
      </c>
      <c r="C48" s="62" t="s">
        <v>20</v>
      </c>
      <c r="D48" s="62" t="s">
        <v>121</v>
      </c>
      <c r="E48" s="149" t="s">
        <v>301</v>
      </c>
      <c r="F48" s="67"/>
      <c r="H48" s="62"/>
      <c r="I48" s="61"/>
      <c r="J48" s="40" t="s">
        <v>266</v>
      </c>
      <c r="K48" s="48" t="s">
        <v>263</v>
      </c>
      <c r="L48" s="67"/>
      <c r="M48" s="67"/>
      <c r="N48" s="67"/>
      <c r="O48" s="68"/>
    </row>
    <row r="49">
      <c r="A49" s="39">
        <v>47.0</v>
      </c>
      <c r="B49" s="70" t="s">
        <v>118</v>
      </c>
      <c r="C49" s="62" t="s">
        <v>20</v>
      </c>
      <c r="D49" s="62" t="s">
        <v>302</v>
      </c>
      <c r="F49" s="67"/>
      <c r="H49" s="62"/>
      <c r="I49" s="61"/>
      <c r="J49" s="40" t="s">
        <v>260</v>
      </c>
      <c r="K49" s="48" t="s">
        <v>303</v>
      </c>
      <c r="L49" s="67"/>
      <c r="M49" s="67"/>
      <c r="N49" s="67"/>
      <c r="O49" s="68"/>
    </row>
    <row r="50">
      <c r="A50" s="39">
        <v>48.0</v>
      </c>
      <c r="B50" s="70" t="s">
        <v>118</v>
      </c>
      <c r="C50" s="62" t="s">
        <v>20</v>
      </c>
      <c r="D50" s="62" t="s">
        <v>304</v>
      </c>
      <c r="F50" s="67"/>
      <c r="H50" s="62"/>
      <c r="I50" s="61"/>
      <c r="J50" s="40" t="s">
        <v>266</v>
      </c>
      <c r="K50" s="48" t="s">
        <v>263</v>
      </c>
      <c r="L50" s="67"/>
      <c r="M50" s="67"/>
      <c r="N50" s="67"/>
      <c r="O50" s="68"/>
    </row>
    <row r="51">
      <c r="A51" s="39">
        <v>49.0</v>
      </c>
      <c r="B51" s="70" t="s">
        <v>118</v>
      </c>
      <c r="C51" s="62" t="s">
        <v>20</v>
      </c>
      <c r="D51" s="62" t="s">
        <v>305</v>
      </c>
      <c r="F51" s="67"/>
      <c r="H51" s="62"/>
      <c r="I51" s="61"/>
      <c r="J51" s="40" t="s">
        <v>260</v>
      </c>
      <c r="K51" s="48" t="s">
        <v>263</v>
      </c>
      <c r="L51" s="67"/>
      <c r="M51" s="67"/>
      <c r="N51" s="67"/>
      <c r="O51" s="68"/>
    </row>
    <row r="52">
      <c r="A52" s="39">
        <v>50.0</v>
      </c>
      <c r="B52" s="70" t="s">
        <v>118</v>
      </c>
      <c r="C52" s="62" t="s">
        <v>20</v>
      </c>
      <c r="D52" s="62" t="s">
        <v>125</v>
      </c>
      <c r="F52" s="67"/>
      <c r="H52" s="62"/>
      <c r="I52" s="61"/>
      <c r="J52" s="40" t="s">
        <v>266</v>
      </c>
      <c r="K52" s="48" t="s">
        <v>263</v>
      </c>
      <c r="L52" s="67"/>
      <c r="M52" s="67"/>
      <c r="N52" s="67"/>
      <c r="O52" s="68"/>
    </row>
    <row r="53">
      <c r="A53" s="39">
        <v>51.0</v>
      </c>
      <c r="B53" s="70" t="s">
        <v>118</v>
      </c>
      <c r="C53" s="62" t="s">
        <v>20</v>
      </c>
      <c r="D53" s="62" t="s">
        <v>126</v>
      </c>
      <c r="F53" s="67"/>
      <c r="H53" s="62"/>
      <c r="I53" s="61"/>
      <c r="J53" s="40" t="s">
        <v>283</v>
      </c>
      <c r="K53" s="48" t="s">
        <v>263</v>
      </c>
      <c r="L53" s="67"/>
      <c r="M53" s="67"/>
      <c r="N53" s="67"/>
      <c r="O53" s="68"/>
    </row>
    <row r="54">
      <c r="A54" s="39">
        <v>52.0</v>
      </c>
      <c r="B54" s="70" t="s">
        <v>118</v>
      </c>
      <c r="C54" s="62" t="s">
        <v>20</v>
      </c>
      <c r="D54" s="62" t="s">
        <v>127</v>
      </c>
      <c r="F54" s="67"/>
      <c r="H54" s="62"/>
      <c r="I54" s="61"/>
      <c r="J54" s="40" t="s">
        <v>283</v>
      </c>
      <c r="K54" s="48" t="s">
        <v>263</v>
      </c>
      <c r="L54" s="67"/>
      <c r="M54" s="67"/>
      <c r="N54" s="67"/>
      <c r="O54" s="68"/>
    </row>
    <row r="55">
      <c r="A55" s="39">
        <v>53.0</v>
      </c>
      <c r="B55" s="70" t="s">
        <v>118</v>
      </c>
      <c r="C55" s="62" t="s">
        <v>20</v>
      </c>
      <c r="D55" s="62" t="s">
        <v>128</v>
      </c>
      <c r="F55" s="67"/>
      <c r="H55" s="62"/>
      <c r="I55" s="61"/>
      <c r="J55" s="40" t="s">
        <v>306</v>
      </c>
      <c r="K55" s="48" t="s">
        <v>263</v>
      </c>
      <c r="L55" s="67"/>
      <c r="M55" s="67"/>
      <c r="N55" s="67"/>
      <c r="O55" s="68"/>
    </row>
    <row r="56">
      <c r="A56" s="39">
        <v>54.0</v>
      </c>
      <c r="B56" s="70" t="s">
        <v>118</v>
      </c>
      <c r="C56" s="62" t="s">
        <v>20</v>
      </c>
      <c r="D56" s="62" t="s">
        <v>129</v>
      </c>
      <c r="E56" s="3"/>
      <c r="F56" s="61">
        <v>8.0</v>
      </c>
      <c r="H56" s="62"/>
      <c r="I56" s="61"/>
      <c r="J56" s="40" t="s">
        <v>260</v>
      </c>
      <c r="K56" s="48" t="s">
        <v>277</v>
      </c>
      <c r="L56" s="67"/>
      <c r="M56" s="67"/>
      <c r="N56" s="67"/>
      <c r="O56" s="68"/>
    </row>
    <row r="57">
      <c r="A57" s="39">
        <v>55.0</v>
      </c>
      <c r="B57" s="70" t="s">
        <v>118</v>
      </c>
      <c r="C57" s="62" t="s">
        <v>20</v>
      </c>
      <c r="D57" s="62" t="s">
        <v>307</v>
      </c>
      <c r="E57" s="118" t="s">
        <v>308</v>
      </c>
      <c r="F57" s="61">
        <v>32.0</v>
      </c>
      <c r="H57" s="62"/>
      <c r="I57" s="61"/>
      <c r="J57" s="40" t="s">
        <v>260</v>
      </c>
      <c r="K57" s="48" t="s">
        <v>269</v>
      </c>
      <c r="L57" s="67"/>
      <c r="M57" s="67"/>
      <c r="N57" s="67"/>
      <c r="O57" s="68"/>
    </row>
    <row r="58">
      <c r="A58" s="39"/>
      <c r="B58" s="70" t="s">
        <v>118</v>
      </c>
      <c r="C58" s="62" t="s">
        <v>20</v>
      </c>
      <c r="D58" s="62" t="s">
        <v>309</v>
      </c>
      <c r="E58" s="118"/>
      <c r="F58" s="61"/>
      <c r="H58" s="62"/>
      <c r="I58" s="61"/>
      <c r="J58" s="40" t="s">
        <v>266</v>
      </c>
      <c r="K58" s="48"/>
      <c r="L58" s="67"/>
      <c r="M58" s="67"/>
      <c r="N58" s="67"/>
      <c r="O58" s="68"/>
    </row>
    <row r="59">
      <c r="A59" s="39"/>
      <c r="B59" s="70" t="s">
        <v>118</v>
      </c>
      <c r="C59" s="62" t="s">
        <v>20</v>
      </c>
      <c r="D59" s="62" t="s">
        <v>310</v>
      </c>
      <c r="E59" s="118"/>
      <c r="F59" s="61"/>
      <c r="H59" s="62"/>
      <c r="I59" s="61"/>
      <c r="J59" s="40" t="s">
        <v>266</v>
      </c>
      <c r="K59" s="48"/>
      <c r="L59" s="67"/>
      <c r="M59" s="67"/>
      <c r="N59" s="67"/>
      <c r="O59" s="68"/>
    </row>
    <row r="60">
      <c r="A60" s="39">
        <v>56.0</v>
      </c>
      <c r="B60" s="70" t="s">
        <v>118</v>
      </c>
      <c r="C60" s="62" t="s">
        <v>20</v>
      </c>
      <c r="D60" s="62" t="s">
        <v>311</v>
      </c>
      <c r="E60" s="118" t="s">
        <v>312</v>
      </c>
      <c r="F60" s="61">
        <v>36.0</v>
      </c>
      <c r="H60" s="62" t="s">
        <v>132</v>
      </c>
      <c r="I60" s="61" t="s">
        <v>313</v>
      </c>
      <c r="J60" s="40" t="s">
        <v>260</v>
      </c>
      <c r="K60" s="48" t="s">
        <v>277</v>
      </c>
      <c r="L60" s="67"/>
      <c r="M60" s="67"/>
      <c r="N60" s="67"/>
      <c r="O60" s="68"/>
    </row>
    <row r="61">
      <c r="A61" s="39"/>
      <c r="B61" s="70" t="s">
        <v>118</v>
      </c>
      <c r="C61" s="62" t="s">
        <v>20</v>
      </c>
      <c r="D61" s="62" t="s">
        <v>314</v>
      </c>
      <c r="E61" s="118"/>
      <c r="F61" s="67"/>
      <c r="H61" s="62"/>
      <c r="I61" s="61"/>
      <c r="J61" s="40" t="s">
        <v>260</v>
      </c>
      <c r="K61" s="48"/>
      <c r="L61" s="67"/>
      <c r="M61" s="67"/>
      <c r="N61" s="67"/>
      <c r="O61" s="68"/>
    </row>
    <row r="62">
      <c r="A62" s="39"/>
      <c r="B62" s="70" t="s">
        <v>118</v>
      </c>
      <c r="C62" s="62" t="s">
        <v>71</v>
      </c>
      <c r="D62" s="62" t="s">
        <v>315</v>
      </c>
      <c r="E62" s="118"/>
      <c r="F62" s="67"/>
      <c r="H62" s="62"/>
      <c r="I62" s="61"/>
      <c r="J62" s="40" t="s">
        <v>260</v>
      </c>
      <c r="K62" s="48"/>
      <c r="L62" s="67"/>
      <c r="M62" s="67"/>
      <c r="N62" s="67"/>
      <c r="O62" s="68"/>
    </row>
    <row r="63">
      <c r="A63" s="39">
        <v>57.0</v>
      </c>
      <c r="B63" s="70" t="s">
        <v>118</v>
      </c>
      <c r="C63" s="62" t="s">
        <v>20</v>
      </c>
      <c r="D63" s="152" t="s">
        <v>133</v>
      </c>
      <c r="E63" s="118" t="s">
        <v>316</v>
      </c>
      <c r="F63" s="67"/>
      <c r="H63" s="62"/>
      <c r="I63" s="61"/>
      <c r="J63" s="40" t="s">
        <v>266</v>
      </c>
      <c r="K63" s="48" t="s">
        <v>269</v>
      </c>
      <c r="L63" s="67"/>
      <c r="M63" s="67"/>
      <c r="N63" s="67"/>
      <c r="O63" s="68"/>
    </row>
    <row r="64">
      <c r="A64" s="39">
        <v>58.0</v>
      </c>
      <c r="B64" s="70" t="s">
        <v>118</v>
      </c>
      <c r="C64" s="62" t="s">
        <v>20</v>
      </c>
      <c r="D64" s="62" t="s">
        <v>134</v>
      </c>
      <c r="E64" s="118"/>
      <c r="F64" s="61">
        <v>16.0</v>
      </c>
      <c r="H64" s="62"/>
      <c r="I64" s="61"/>
      <c r="J64" s="40" t="s">
        <v>280</v>
      </c>
      <c r="K64" s="48" t="s">
        <v>269</v>
      </c>
      <c r="L64" s="67"/>
      <c r="M64" s="67"/>
      <c r="N64" s="67"/>
      <c r="O64" s="68"/>
    </row>
    <row r="65">
      <c r="A65" s="39">
        <v>59.0</v>
      </c>
      <c r="B65" s="70" t="s">
        <v>118</v>
      </c>
      <c r="C65" s="62" t="s">
        <v>20</v>
      </c>
      <c r="D65" s="62" t="s">
        <v>135</v>
      </c>
      <c r="E65" s="118"/>
      <c r="F65" s="61">
        <v>16.0</v>
      </c>
      <c r="H65" s="62"/>
      <c r="I65" s="61"/>
      <c r="J65" s="40" t="s">
        <v>260</v>
      </c>
      <c r="K65" s="48" t="s">
        <v>269</v>
      </c>
      <c r="L65" s="67"/>
      <c r="M65" s="67"/>
      <c r="N65" s="67"/>
      <c r="O65" s="68"/>
    </row>
    <row r="66">
      <c r="A66" s="39">
        <v>60.0</v>
      </c>
      <c r="B66" s="70" t="s">
        <v>118</v>
      </c>
      <c r="C66" s="62" t="s">
        <v>20</v>
      </c>
      <c r="D66" s="62" t="s">
        <v>136</v>
      </c>
      <c r="E66" s="147" t="s">
        <v>317</v>
      </c>
      <c r="F66" s="61">
        <v>8.0</v>
      </c>
      <c r="H66" s="62"/>
      <c r="I66" s="61"/>
      <c r="J66" s="40" t="s">
        <v>283</v>
      </c>
      <c r="K66" s="48" t="s">
        <v>269</v>
      </c>
      <c r="L66" s="67"/>
      <c r="M66" s="67"/>
      <c r="N66" s="67"/>
      <c r="O66" s="68"/>
    </row>
    <row r="67">
      <c r="A67" s="39">
        <v>61.0</v>
      </c>
      <c r="B67" s="70" t="s">
        <v>118</v>
      </c>
      <c r="C67" s="62" t="s">
        <v>20</v>
      </c>
      <c r="D67" s="62" t="s">
        <v>137</v>
      </c>
      <c r="E67" s="118"/>
      <c r="F67" s="61">
        <v>4.0</v>
      </c>
      <c r="H67" s="62"/>
      <c r="I67" s="61"/>
      <c r="J67" s="40" t="s">
        <v>260</v>
      </c>
      <c r="K67" s="48" t="s">
        <v>269</v>
      </c>
      <c r="L67" s="67"/>
      <c r="M67" s="67"/>
      <c r="N67" s="67"/>
      <c r="O67" s="68"/>
    </row>
    <row r="68">
      <c r="A68" s="39">
        <v>62.0</v>
      </c>
      <c r="B68" s="70" t="s">
        <v>118</v>
      </c>
      <c r="C68" s="62" t="s">
        <v>71</v>
      </c>
      <c r="D68" s="62" t="s">
        <v>138</v>
      </c>
      <c r="E68" s="3"/>
      <c r="F68" s="64"/>
      <c r="H68" s="62"/>
      <c r="I68" s="62"/>
      <c r="J68" s="40" t="s">
        <v>266</v>
      </c>
      <c r="K68" s="48" t="s">
        <v>269</v>
      </c>
      <c r="L68" s="64"/>
      <c r="M68" s="64"/>
      <c r="N68" s="64"/>
      <c r="O68" s="65"/>
    </row>
    <row r="69">
      <c r="A69" s="39">
        <v>63.0</v>
      </c>
      <c r="B69" s="70" t="s">
        <v>118</v>
      </c>
      <c r="C69" s="62" t="s">
        <v>71</v>
      </c>
      <c r="D69" s="62" t="s">
        <v>139</v>
      </c>
      <c r="E69" s="3"/>
      <c r="F69" s="64"/>
      <c r="H69" s="62"/>
      <c r="I69" s="62"/>
      <c r="J69" s="40" t="s">
        <v>260</v>
      </c>
      <c r="K69" s="48" t="s">
        <v>261</v>
      </c>
      <c r="L69" s="64"/>
      <c r="M69" s="64"/>
      <c r="N69" s="64"/>
      <c r="O69" s="65"/>
    </row>
    <row r="70">
      <c r="A70" s="39"/>
      <c r="B70" s="70" t="s">
        <v>118</v>
      </c>
      <c r="C70" s="62" t="s">
        <v>20</v>
      </c>
      <c r="D70" s="62" t="s">
        <v>318</v>
      </c>
      <c r="E70" s="3"/>
      <c r="F70" s="62"/>
      <c r="H70" s="62"/>
      <c r="I70" s="62"/>
      <c r="J70" s="40" t="s">
        <v>266</v>
      </c>
      <c r="K70" s="48"/>
      <c r="L70" s="64"/>
      <c r="M70" s="64"/>
      <c r="N70" s="64"/>
      <c r="O70" s="65"/>
    </row>
    <row r="71">
      <c r="A71" s="39">
        <v>64.0</v>
      </c>
      <c r="B71" s="70" t="s">
        <v>118</v>
      </c>
      <c r="C71" s="62" t="s">
        <v>140</v>
      </c>
      <c r="D71" s="62" t="s">
        <v>141</v>
      </c>
      <c r="E71" s="3"/>
      <c r="F71" s="62">
        <v>40.0</v>
      </c>
      <c r="H71" s="62"/>
      <c r="I71" s="62"/>
      <c r="J71" s="40" t="s">
        <v>266</v>
      </c>
      <c r="K71" s="48" t="s">
        <v>277</v>
      </c>
      <c r="L71" s="64"/>
      <c r="M71" s="64"/>
      <c r="N71" s="64"/>
      <c r="O71" s="65"/>
    </row>
    <row r="72">
      <c r="A72" s="39">
        <v>65.0</v>
      </c>
      <c r="B72" s="70" t="s">
        <v>118</v>
      </c>
      <c r="C72" s="62" t="s">
        <v>140</v>
      </c>
      <c r="D72" s="62" t="s">
        <v>142</v>
      </c>
      <c r="E72" s="3"/>
      <c r="F72" s="117">
        <v>16.0</v>
      </c>
      <c r="H72" s="62"/>
      <c r="I72" s="62"/>
      <c r="J72" s="40" t="s">
        <v>260</v>
      </c>
      <c r="K72" s="48" t="s">
        <v>277</v>
      </c>
      <c r="L72" s="64"/>
      <c r="M72" s="64"/>
      <c r="N72" s="64"/>
      <c r="O72" s="65"/>
    </row>
    <row r="73">
      <c r="A73" s="39">
        <v>66.0</v>
      </c>
      <c r="B73" s="70" t="s">
        <v>118</v>
      </c>
      <c r="C73" s="62" t="s">
        <v>20</v>
      </c>
      <c r="D73" s="62" t="s">
        <v>143</v>
      </c>
      <c r="E73" s="118" t="s">
        <v>319</v>
      </c>
      <c r="F73" s="62">
        <v>16.0</v>
      </c>
      <c r="H73" s="62"/>
      <c r="I73" s="62"/>
      <c r="J73" s="40" t="s">
        <v>283</v>
      </c>
      <c r="K73" s="48" t="s">
        <v>277</v>
      </c>
      <c r="L73" s="64"/>
      <c r="M73" s="64"/>
      <c r="N73" s="64"/>
      <c r="O73" s="65"/>
    </row>
    <row r="74">
      <c r="A74" s="39">
        <v>67.0</v>
      </c>
      <c r="B74" s="70" t="s">
        <v>118</v>
      </c>
      <c r="C74" s="62" t="s">
        <v>140</v>
      </c>
      <c r="D74" s="62" t="s">
        <v>144</v>
      </c>
      <c r="E74" s="3"/>
      <c r="F74" s="62">
        <v>16.0</v>
      </c>
      <c r="H74" s="62"/>
      <c r="I74" s="62"/>
      <c r="J74" s="40" t="s">
        <v>260</v>
      </c>
      <c r="K74" s="48" t="s">
        <v>261</v>
      </c>
      <c r="L74" s="64"/>
      <c r="M74" s="64"/>
      <c r="N74" s="64"/>
      <c r="O74" s="65"/>
    </row>
    <row r="75" hidden="1">
      <c r="A75" s="39"/>
      <c r="B75" s="70"/>
      <c r="C75" s="62"/>
      <c r="D75" s="62"/>
      <c r="E75" s="3"/>
      <c r="F75" s="62"/>
      <c r="H75" s="62"/>
      <c r="I75" s="62"/>
      <c r="J75" s="40"/>
      <c r="K75" s="48"/>
      <c r="L75" s="64"/>
      <c r="M75" s="64"/>
      <c r="N75" s="64"/>
      <c r="O75" s="65"/>
    </row>
    <row r="76">
      <c r="A76" s="39">
        <v>69.0</v>
      </c>
      <c r="B76" s="70" t="s">
        <v>118</v>
      </c>
      <c r="C76" s="62" t="s">
        <v>20</v>
      </c>
      <c r="D76" s="62" t="s">
        <v>146</v>
      </c>
      <c r="E76" s="3"/>
      <c r="F76" s="62">
        <v>8.0</v>
      </c>
      <c r="H76" s="62"/>
      <c r="I76" s="62"/>
      <c r="J76" s="40" t="s">
        <v>260</v>
      </c>
      <c r="K76" s="48" t="s">
        <v>303</v>
      </c>
      <c r="L76" s="64"/>
      <c r="M76" s="64"/>
      <c r="N76" s="64"/>
      <c r="O76" s="65"/>
    </row>
    <row r="77">
      <c r="A77" s="39">
        <v>70.0</v>
      </c>
      <c r="B77" s="70" t="s">
        <v>118</v>
      </c>
      <c r="C77" s="62" t="s">
        <v>20</v>
      </c>
      <c r="D77" s="62" t="s">
        <v>147</v>
      </c>
      <c r="E77" s="3"/>
      <c r="F77" s="62">
        <v>32.0</v>
      </c>
      <c r="H77" s="62"/>
      <c r="I77" s="62"/>
      <c r="J77" s="40" t="s">
        <v>266</v>
      </c>
      <c r="K77" s="48" t="s">
        <v>263</v>
      </c>
      <c r="L77" s="64"/>
      <c r="M77" s="64"/>
      <c r="N77" s="64"/>
      <c r="O77" s="65"/>
    </row>
    <row r="78">
      <c r="A78" s="39">
        <v>71.0</v>
      </c>
      <c r="B78" s="70" t="s">
        <v>118</v>
      </c>
      <c r="C78" s="62" t="s">
        <v>20</v>
      </c>
      <c r="D78" s="62" t="s">
        <v>148</v>
      </c>
      <c r="E78" s="3"/>
      <c r="F78" s="62">
        <v>16.0</v>
      </c>
      <c r="H78" s="62"/>
      <c r="I78" s="62"/>
      <c r="J78" s="40" t="s">
        <v>260</v>
      </c>
      <c r="K78" s="48" t="s">
        <v>263</v>
      </c>
      <c r="L78" s="64"/>
      <c r="M78" s="64"/>
      <c r="N78" s="64"/>
      <c r="O78" s="65"/>
    </row>
    <row r="79">
      <c r="A79" s="39">
        <v>72.0</v>
      </c>
      <c r="B79" s="70" t="s">
        <v>118</v>
      </c>
      <c r="C79" s="62" t="s">
        <v>20</v>
      </c>
      <c r="D79" s="62" t="s">
        <v>149</v>
      </c>
      <c r="E79" s="3"/>
      <c r="F79" s="62">
        <v>40.0</v>
      </c>
      <c r="H79" s="62"/>
      <c r="I79" s="62"/>
      <c r="J79" s="40" t="s">
        <v>266</v>
      </c>
      <c r="K79" s="48" t="s">
        <v>263</v>
      </c>
      <c r="L79" s="64"/>
      <c r="M79" s="64"/>
      <c r="N79" s="64"/>
      <c r="O79" s="65"/>
    </row>
    <row r="80">
      <c r="A80" s="39">
        <v>73.0</v>
      </c>
      <c r="B80" s="70" t="s">
        <v>118</v>
      </c>
      <c r="C80" s="62" t="s">
        <v>20</v>
      </c>
      <c r="D80" s="62" t="s">
        <v>150</v>
      </c>
      <c r="E80" s="3"/>
      <c r="F80" s="62">
        <v>32.0</v>
      </c>
      <c r="H80" s="62"/>
      <c r="I80" s="62"/>
      <c r="J80" s="40" t="s">
        <v>283</v>
      </c>
      <c r="K80" s="48" t="s">
        <v>263</v>
      </c>
      <c r="L80" s="64"/>
      <c r="M80" s="64"/>
      <c r="N80" s="64"/>
      <c r="O80" s="65"/>
    </row>
    <row r="81">
      <c r="A81" s="39">
        <v>74.0</v>
      </c>
      <c r="B81" s="70" t="s">
        <v>118</v>
      </c>
      <c r="C81" s="62" t="s">
        <v>20</v>
      </c>
      <c r="D81" s="62" t="s">
        <v>151</v>
      </c>
      <c r="E81" s="3"/>
      <c r="F81" s="62">
        <v>40.0</v>
      </c>
      <c r="H81" s="62"/>
      <c r="I81" s="62"/>
      <c r="J81" s="40" t="s">
        <v>283</v>
      </c>
      <c r="K81" s="48" t="s">
        <v>263</v>
      </c>
      <c r="L81" s="64"/>
      <c r="M81" s="64"/>
      <c r="N81" s="64"/>
      <c r="O81" s="65"/>
    </row>
    <row r="82">
      <c r="A82" s="39">
        <v>75.0</v>
      </c>
      <c r="B82" s="70" t="s">
        <v>118</v>
      </c>
      <c r="C82" s="62" t="s">
        <v>71</v>
      </c>
      <c r="D82" s="62" t="s">
        <v>152</v>
      </c>
      <c r="E82" s="3"/>
      <c r="F82" s="62">
        <v>8.0</v>
      </c>
      <c r="H82" s="62"/>
      <c r="I82" s="62"/>
      <c r="J82" s="40" t="s">
        <v>260</v>
      </c>
      <c r="K82" s="48" t="s">
        <v>269</v>
      </c>
      <c r="L82" s="64"/>
      <c r="M82" s="64"/>
      <c r="N82" s="64"/>
      <c r="O82" s="65"/>
    </row>
    <row r="83">
      <c r="A83" s="39">
        <v>76.0</v>
      </c>
      <c r="B83" s="70" t="s">
        <v>118</v>
      </c>
      <c r="C83" s="62" t="s">
        <v>71</v>
      </c>
      <c r="D83" s="71" t="s">
        <v>153</v>
      </c>
      <c r="E83" s="3"/>
      <c r="F83" s="64"/>
      <c r="H83" s="62"/>
      <c r="I83" s="62"/>
      <c r="J83" s="40" t="s">
        <v>260</v>
      </c>
      <c r="K83" s="48" t="s">
        <v>269</v>
      </c>
      <c r="L83" s="64"/>
      <c r="M83" s="64"/>
      <c r="N83" s="64"/>
      <c r="O83" s="65"/>
    </row>
    <row r="84">
      <c r="A84" s="39">
        <v>77.0</v>
      </c>
      <c r="B84" s="70" t="s">
        <v>118</v>
      </c>
      <c r="C84" s="62" t="s">
        <v>20</v>
      </c>
      <c r="D84" s="62" t="s">
        <v>154</v>
      </c>
      <c r="E84" s="3"/>
      <c r="F84" s="62">
        <v>16.0</v>
      </c>
      <c r="H84" s="62"/>
      <c r="I84" s="62"/>
      <c r="J84" s="40" t="s">
        <v>260</v>
      </c>
      <c r="K84" s="48" t="s">
        <v>269</v>
      </c>
      <c r="L84" s="64"/>
      <c r="M84" s="64"/>
      <c r="N84" s="64"/>
      <c r="O84" s="65"/>
    </row>
    <row r="85">
      <c r="A85" s="39">
        <v>78.0</v>
      </c>
      <c r="B85" s="70" t="s">
        <v>118</v>
      </c>
      <c r="C85" s="62" t="s">
        <v>71</v>
      </c>
      <c r="D85" s="62" t="s">
        <v>155</v>
      </c>
      <c r="E85" s="3"/>
      <c r="H85" s="62"/>
      <c r="I85" s="62"/>
      <c r="J85" s="40" t="s">
        <v>260</v>
      </c>
      <c r="K85" s="48" t="s">
        <v>269</v>
      </c>
      <c r="L85" s="64"/>
      <c r="M85" s="64"/>
      <c r="N85" s="64"/>
      <c r="O85" s="65"/>
    </row>
    <row r="86">
      <c r="A86" s="39">
        <v>79.0</v>
      </c>
      <c r="B86" s="70" t="s">
        <v>118</v>
      </c>
      <c r="C86" s="62" t="s">
        <v>71</v>
      </c>
      <c r="D86" s="62" t="s">
        <v>156</v>
      </c>
      <c r="E86" s="3"/>
      <c r="F86" s="62">
        <v>4.0</v>
      </c>
      <c r="H86" s="62"/>
      <c r="I86" s="62"/>
      <c r="J86" s="40" t="s">
        <v>260</v>
      </c>
      <c r="K86" s="48" t="s">
        <v>269</v>
      </c>
      <c r="L86" s="64"/>
      <c r="M86" s="64"/>
      <c r="N86" s="64"/>
      <c r="O86" s="65"/>
    </row>
    <row r="87">
      <c r="A87" s="39">
        <v>80.0</v>
      </c>
      <c r="B87" s="70" t="s">
        <v>118</v>
      </c>
      <c r="C87" s="62" t="s">
        <v>71</v>
      </c>
      <c r="D87" s="62" t="s">
        <v>320</v>
      </c>
      <c r="E87" s="118"/>
      <c r="F87" s="62">
        <v>16.0</v>
      </c>
      <c r="H87" s="62"/>
      <c r="I87" s="62"/>
      <c r="J87" s="40" t="s">
        <v>260</v>
      </c>
      <c r="K87" s="48" t="s">
        <v>269</v>
      </c>
      <c r="L87" s="64"/>
      <c r="M87" s="64"/>
      <c r="N87" s="64"/>
      <c r="O87" s="65"/>
    </row>
    <row r="88" ht="45.0" customHeight="1">
      <c r="A88" s="39"/>
      <c r="B88" s="70" t="s">
        <v>118</v>
      </c>
      <c r="C88" s="62" t="s">
        <v>71</v>
      </c>
      <c r="D88" s="62" t="s">
        <v>321</v>
      </c>
      <c r="E88" s="147"/>
      <c r="H88" s="72"/>
      <c r="I88" s="62"/>
      <c r="J88" s="40" t="s">
        <v>283</v>
      </c>
      <c r="K88" s="48"/>
      <c r="L88" s="64"/>
      <c r="M88" s="64"/>
      <c r="N88" s="64"/>
      <c r="O88" s="65"/>
    </row>
    <row r="89">
      <c r="A89" s="39">
        <v>81.0</v>
      </c>
      <c r="B89" s="70" t="s">
        <v>118</v>
      </c>
      <c r="C89" s="62" t="s">
        <v>20</v>
      </c>
      <c r="D89" s="62" t="s">
        <v>322</v>
      </c>
      <c r="E89" s="147" t="s">
        <v>323</v>
      </c>
      <c r="F89" s="62">
        <v>24.0</v>
      </c>
      <c r="H89" s="72"/>
      <c r="I89" s="62"/>
      <c r="J89" s="40" t="s">
        <v>266</v>
      </c>
      <c r="K89" s="48" t="s">
        <v>261</v>
      </c>
      <c r="L89" s="64"/>
      <c r="M89" s="64"/>
      <c r="N89" s="64"/>
      <c r="O89" s="65"/>
    </row>
    <row r="90">
      <c r="A90" s="39">
        <v>82.0</v>
      </c>
      <c r="B90" s="70" t="s">
        <v>118</v>
      </c>
      <c r="C90" s="62" t="s">
        <v>71</v>
      </c>
      <c r="D90" s="62" t="s">
        <v>159</v>
      </c>
      <c r="E90" s="3"/>
      <c r="H90" s="62"/>
      <c r="I90" s="62"/>
      <c r="J90" s="40" t="s">
        <v>266</v>
      </c>
      <c r="K90" s="48" t="s">
        <v>261</v>
      </c>
      <c r="L90" s="64"/>
      <c r="M90" s="64"/>
      <c r="N90" s="64"/>
      <c r="O90" s="65"/>
    </row>
    <row r="91">
      <c r="A91" s="39">
        <v>83.0</v>
      </c>
      <c r="B91" s="61" t="s">
        <v>160</v>
      </c>
      <c r="C91" s="61" t="s">
        <v>88</v>
      </c>
      <c r="D91" s="61" t="s">
        <v>161</v>
      </c>
      <c r="E91" s="3"/>
      <c r="F91" s="64"/>
      <c r="H91" s="72"/>
      <c r="I91" s="62"/>
      <c r="J91" s="40" t="s">
        <v>260</v>
      </c>
      <c r="K91" s="48" t="s">
        <v>269</v>
      </c>
      <c r="L91" s="64"/>
      <c r="M91" s="64"/>
      <c r="N91" s="64"/>
      <c r="O91" s="65"/>
    </row>
    <row r="92">
      <c r="A92" s="39">
        <v>84.0</v>
      </c>
      <c r="B92" s="73" t="s">
        <v>160</v>
      </c>
      <c r="C92" s="72" t="s">
        <v>20</v>
      </c>
      <c r="D92" s="72" t="s">
        <v>162</v>
      </c>
      <c r="E92" s="3"/>
      <c r="F92" s="64"/>
      <c r="H92" s="72"/>
      <c r="I92" s="62"/>
      <c r="J92" s="40" t="s">
        <v>260</v>
      </c>
      <c r="K92" s="48" t="s">
        <v>277</v>
      </c>
      <c r="L92" s="64"/>
      <c r="M92" s="64"/>
      <c r="N92" s="64"/>
      <c r="O92" s="65"/>
    </row>
    <row r="93">
      <c r="A93" s="39">
        <v>85.0</v>
      </c>
      <c r="B93" s="73" t="s">
        <v>160</v>
      </c>
      <c r="C93" s="72" t="s">
        <v>140</v>
      </c>
      <c r="D93" s="72" t="s">
        <v>163</v>
      </c>
      <c r="E93" s="3"/>
      <c r="F93" s="64"/>
      <c r="H93" s="72"/>
      <c r="I93" s="62"/>
      <c r="J93" s="40" t="s">
        <v>260</v>
      </c>
      <c r="K93" s="48" t="s">
        <v>277</v>
      </c>
      <c r="L93" s="64"/>
      <c r="M93" s="64"/>
      <c r="N93" s="64"/>
      <c r="O93" s="65"/>
    </row>
    <row r="94">
      <c r="A94" s="39">
        <v>86.0</v>
      </c>
      <c r="B94" s="73" t="s">
        <v>160</v>
      </c>
      <c r="C94" s="72" t="s">
        <v>20</v>
      </c>
      <c r="D94" s="72" t="s">
        <v>143</v>
      </c>
      <c r="E94" s="118" t="s">
        <v>319</v>
      </c>
      <c r="F94" s="62">
        <v>32.0</v>
      </c>
      <c r="H94" s="72"/>
      <c r="I94" s="62"/>
      <c r="J94" s="40" t="s">
        <v>283</v>
      </c>
      <c r="K94" s="48" t="s">
        <v>277</v>
      </c>
      <c r="L94" s="64"/>
      <c r="M94" s="64"/>
      <c r="N94" s="64"/>
      <c r="O94" s="65"/>
    </row>
    <row r="95">
      <c r="A95" s="39">
        <v>87.0</v>
      </c>
      <c r="B95" s="73" t="s">
        <v>160</v>
      </c>
      <c r="C95" s="72" t="s">
        <v>140</v>
      </c>
      <c r="D95" s="72" t="s">
        <v>164</v>
      </c>
      <c r="E95" s="3"/>
      <c r="F95" s="64"/>
      <c r="H95" s="72"/>
      <c r="I95" s="62"/>
      <c r="J95" s="40" t="s">
        <v>260</v>
      </c>
      <c r="K95" s="48" t="s">
        <v>277</v>
      </c>
      <c r="L95" s="64"/>
      <c r="M95" s="64"/>
      <c r="N95" s="64"/>
      <c r="O95" s="65"/>
    </row>
    <row r="96">
      <c r="A96" s="39">
        <v>88.0</v>
      </c>
      <c r="B96" s="73" t="s">
        <v>160</v>
      </c>
      <c r="C96" s="72" t="s">
        <v>140</v>
      </c>
      <c r="D96" s="72" t="s">
        <v>165</v>
      </c>
      <c r="E96" s="3"/>
      <c r="F96" s="64"/>
      <c r="H96" s="72"/>
      <c r="I96" s="62"/>
      <c r="J96" s="40" t="s">
        <v>283</v>
      </c>
      <c r="K96" s="48" t="s">
        <v>277</v>
      </c>
      <c r="L96" s="64"/>
      <c r="M96" s="64"/>
      <c r="N96" s="64"/>
      <c r="O96" s="65"/>
    </row>
    <row r="97">
      <c r="A97" s="39">
        <v>89.0</v>
      </c>
      <c r="B97" s="73" t="s">
        <v>160</v>
      </c>
      <c r="C97" s="72" t="s">
        <v>140</v>
      </c>
      <c r="D97" s="72" t="s">
        <v>166</v>
      </c>
      <c r="E97" s="3"/>
      <c r="F97" s="67"/>
      <c r="H97" s="74"/>
      <c r="I97" s="61"/>
      <c r="J97" s="40" t="s">
        <v>283</v>
      </c>
      <c r="K97" s="48" t="s">
        <v>261</v>
      </c>
      <c r="L97" s="67"/>
      <c r="M97" s="67"/>
      <c r="N97" s="67"/>
      <c r="O97" s="68"/>
    </row>
    <row r="98">
      <c r="A98" s="39">
        <v>90.0</v>
      </c>
      <c r="B98" s="75" t="s">
        <v>167</v>
      </c>
      <c r="C98" s="74" t="s">
        <v>88</v>
      </c>
      <c r="D98" s="74" t="s">
        <v>168</v>
      </c>
      <c r="E98" s="3"/>
      <c r="F98" s="67"/>
      <c r="H98" s="74"/>
      <c r="I98" s="61"/>
      <c r="J98" s="40" t="s">
        <v>283</v>
      </c>
      <c r="K98" s="48" t="s">
        <v>269</v>
      </c>
      <c r="L98" s="67"/>
      <c r="M98" s="67"/>
      <c r="N98" s="67"/>
      <c r="O98" s="68"/>
    </row>
    <row r="99">
      <c r="A99" s="39">
        <v>91.0</v>
      </c>
      <c r="B99" s="73" t="s">
        <v>167</v>
      </c>
      <c r="C99" s="72" t="s">
        <v>20</v>
      </c>
      <c r="D99" s="72" t="s">
        <v>169</v>
      </c>
      <c r="E99" s="118" t="s">
        <v>324</v>
      </c>
      <c r="F99" s="62">
        <v>104.0</v>
      </c>
      <c r="H99" s="72"/>
      <c r="I99" s="62"/>
      <c r="J99" s="40" t="s">
        <v>283</v>
      </c>
      <c r="K99" s="48" t="s">
        <v>277</v>
      </c>
      <c r="L99" s="64"/>
      <c r="M99" s="64"/>
      <c r="N99" s="64"/>
      <c r="O99" s="65"/>
    </row>
    <row r="100">
      <c r="A100" s="39">
        <v>92.0</v>
      </c>
      <c r="B100" s="73" t="s">
        <v>167</v>
      </c>
      <c r="C100" s="72" t="s">
        <v>20</v>
      </c>
      <c r="D100" s="72" t="s">
        <v>170</v>
      </c>
      <c r="E100" s="118" t="s">
        <v>324</v>
      </c>
      <c r="H100" s="72"/>
      <c r="I100" s="62"/>
      <c r="J100" s="40" t="s">
        <v>283</v>
      </c>
      <c r="K100" s="48" t="s">
        <v>277</v>
      </c>
      <c r="L100" s="64"/>
      <c r="M100" s="64"/>
      <c r="N100" s="64"/>
      <c r="O100" s="65"/>
    </row>
    <row r="101">
      <c r="A101" s="39">
        <v>93.0</v>
      </c>
      <c r="B101" s="73" t="s">
        <v>167</v>
      </c>
      <c r="C101" s="72" t="s">
        <v>71</v>
      </c>
      <c r="D101" s="72" t="s">
        <v>325</v>
      </c>
      <c r="E101" s="118" t="s">
        <v>324</v>
      </c>
      <c r="F101" s="62">
        <v>80.0</v>
      </c>
      <c r="H101" s="72"/>
      <c r="I101" s="62"/>
      <c r="J101" s="40" t="s">
        <v>266</v>
      </c>
      <c r="K101" s="48" t="s">
        <v>277</v>
      </c>
      <c r="L101" s="64"/>
      <c r="M101" s="64"/>
      <c r="N101" s="64"/>
      <c r="O101" s="65"/>
    </row>
    <row r="102">
      <c r="A102" s="39">
        <v>94.0</v>
      </c>
      <c r="B102" s="73" t="s">
        <v>167</v>
      </c>
      <c r="C102" s="72" t="s">
        <v>20</v>
      </c>
      <c r="D102" s="72" t="s">
        <v>172</v>
      </c>
      <c r="E102" s="118" t="s">
        <v>324</v>
      </c>
      <c r="H102" s="72"/>
      <c r="I102" s="62"/>
      <c r="J102" s="40" t="s">
        <v>283</v>
      </c>
      <c r="K102" s="48" t="s">
        <v>277</v>
      </c>
      <c r="L102" s="64"/>
      <c r="M102" s="64"/>
      <c r="N102" s="64"/>
      <c r="O102" s="65"/>
    </row>
    <row r="103">
      <c r="A103" s="39">
        <v>95.0</v>
      </c>
      <c r="B103" s="73" t="s">
        <v>167</v>
      </c>
      <c r="C103" s="72" t="s">
        <v>71</v>
      </c>
      <c r="D103" s="72" t="s">
        <v>173</v>
      </c>
      <c r="E103" s="118" t="s">
        <v>324</v>
      </c>
      <c r="H103" s="74"/>
      <c r="I103" s="61"/>
      <c r="J103" s="40" t="s">
        <v>283</v>
      </c>
      <c r="K103" s="48" t="s">
        <v>261</v>
      </c>
      <c r="L103" s="67"/>
      <c r="M103" s="67"/>
      <c r="N103" s="67"/>
      <c r="O103" s="68"/>
    </row>
    <row r="104">
      <c r="A104" s="39">
        <v>96.0</v>
      </c>
      <c r="B104" s="75" t="s">
        <v>174</v>
      </c>
      <c r="C104" s="74" t="s">
        <v>88</v>
      </c>
      <c r="D104" s="74" t="s">
        <v>175</v>
      </c>
      <c r="E104" s="3"/>
      <c r="F104" s="67"/>
      <c r="H104" s="74"/>
      <c r="I104" s="61"/>
      <c r="J104" s="40" t="s">
        <v>283</v>
      </c>
      <c r="K104" s="48" t="s">
        <v>269</v>
      </c>
      <c r="L104" s="67"/>
      <c r="M104" s="67"/>
      <c r="N104" s="67"/>
      <c r="O104" s="68"/>
    </row>
    <row r="105">
      <c r="A105" s="39">
        <v>97.0</v>
      </c>
      <c r="B105" s="73" t="s">
        <v>174</v>
      </c>
      <c r="C105" s="72" t="s">
        <v>20</v>
      </c>
      <c r="D105" s="72" t="s">
        <v>176</v>
      </c>
      <c r="E105" s="118" t="s">
        <v>324</v>
      </c>
      <c r="F105" s="61">
        <v>80.0</v>
      </c>
      <c r="H105" s="74"/>
      <c r="I105" s="61"/>
      <c r="J105" s="40" t="s">
        <v>283</v>
      </c>
      <c r="K105" s="48" t="s">
        <v>277</v>
      </c>
      <c r="L105" s="67"/>
      <c r="M105" s="67"/>
      <c r="N105" s="67"/>
      <c r="O105" s="68"/>
    </row>
    <row r="106">
      <c r="A106" s="39">
        <v>98.0</v>
      </c>
      <c r="B106" s="73" t="s">
        <v>174</v>
      </c>
      <c r="C106" s="72" t="s">
        <v>20</v>
      </c>
      <c r="D106" s="72" t="s">
        <v>170</v>
      </c>
      <c r="E106" s="118" t="s">
        <v>324</v>
      </c>
      <c r="F106" s="61">
        <v>64.0</v>
      </c>
      <c r="H106" s="74"/>
      <c r="I106" s="61"/>
      <c r="J106" s="40" t="s">
        <v>283</v>
      </c>
      <c r="K106" s="48" t="s">
        <v>277</v>
      </c>
      <c r="L106" s="67"/>
      <c r="M106" s="67"/>
      <c r="N106" s="67"/>
      <c r="O106" s="68"/>
    </row>
    <row r="107">
      <c r="A107" s="39">
        <v>99.0</v>
      </c>
      <c r="B107" s="73" t="s">
        <v>174</v>
      </c>
      <c r="C107" s="72" t="s">
        <v>71</v>
      </c>
      <c r="D107" s="72" t="s">
        <v>177</v>
      </c>
      <c r="E107" s="118" t="s">
        <v>324</v>
      </c>
      <c r="F107" s="61">
        <v>70.0</v>
      </c>
      <c r="H107" s="74"/>
      <c r="I107" s="61"/>
      <c r="J107" s="40" t="s">
        <v>283</v>
      </c>
      <c r="K107" s="48" t="s">
        <v>277</v>
      </c>
      <c r="L107" s="67"/>
      <c r="M107" s="67"/>
      <c r="N107" s="67"/>
      <c r="O107" s="68"/>
    </row>
    <row r="108">
      <c r="A108" s="39">
        <v>100.0</v>
      </c>
      <c r="B108" s="73" t="s">
        <v>174</v>
      </c>
      <c r="C108" s="72" t="s">
        <v>20</v>
      </c>
      <c r="D108" s="72" t="s">
        <v>172</v>
      </c>
      <c r="E108" s="118" t="s">
        <v>324</v>
      </c>
      <c r="F108" s="61"/>
      <c r="H108" s="74"/>
      <c r="I108" s="61"/>
      <c r="J108" s="40" t="s">
        <v>283</v>
      </c>
      <c r="K108" s="48" t="s">
        <v>277</v>
      </c>
      <c r="L108" s="67"/>
      <c r="M108" s="67"/>
      <c r="N108" s="67"/>
      <c r="O108" s="68"/>
    </row>
    <row r="109">
      <c r="A109" s="39">
        <v>101.0</v>
      </c>
      <c r="B109" s="73" t="s">
        <v>174</v>
      </c>
      <c r="C109" s="72" t="s">
        <v>71</v>
      </c>
      <c r="D109" s="76" t="s">
        <v>178</v>
      </c>
      <c r="E109" s="118" t="s">
        <v>324</v>
      </c>
      <c r="F109" s="61">
        <v>150.0</v>
      </c>
      <c r="H109" s="74"/>
      <c r="I109" s="61"/>
      <c r="J109" s="40" t="s">
        <v>283</v>
      </c>
      <c r="K109" s="48" t="s">
        <v>269</v>
      </c>
      <c r="L109" s="67"/>
      <c r="M109" s="67"/>
      <c r="N109" s="67"/>
      <c r="O109" s="68"/>
    </row>
    <row r="110">
      <c r="A110" s="39">
        <v>102.0</v>
      </c>
      <c r="B110" s="73" t="s">
        <v>174</v>
      </c>
      <c r="C110" s="76" t="s">
        <v>20</v>
      </c>
      <c r="D110" s="76" t="s">
        <v>179</v>
      </c>
      <c r="E110" s="118" t="s">
        <v>324</v>
      </c>
      <c r="F110" s="61">
        <v>90.0</v>
      </c>
      <c r="H110" s="74"/>
      <c r="I110" s="61"/>
      <c r="J110" s="40" t="s">
        <v>283</v>
      </c>
      <c r="K110" s="48" t="s">
        <v>277</v>
      </c>
      <c r="L110" s="67"/>
      <c r="M110" s="67"/>
      <c r="N110" s="67"/>
      <c r="O110" s="68"/>
    </row>
    <row r="111">
      <c r="A111" s="39">
        <v>103.0</v>
      </c>
      <c r="B111" s="73" t="s">
        <v>174</v>
      </c>
      <c r="C111" s="76" t="s">
        <v>71</v>
      </c>
      <c r="D111" s="76" t="s">
        <v>180</v>
      </c>
      <c r="E111" s="118" t="s">
        <v>324</v>
      </c>
      <c r="F111" s="61">
        <v>20.0</v>
      </c>
      <c r="H111" s="74"/>
      <c r="I111" s="61"/>
      <c r="J111" s="40" t="s">
        <v>283</v>
      </c>
      <c r="K111" s="48" t="s">
        <v>261</v>
      </c>
      <c r="L111" s="67"/>
      <c r="M111" s="67"/>
      <c r="N111" s="67"/>
      <c r="O111" s="68"/>
    </row>
    <row r="112">
      <c r="A112" s="39">
        <v>104.0</v>
      </c>
      <c r="B112" s="75" t="s">
        <v>181</v>
      </c>
      <c r="C112" s="74" t="s">
        <v>88</v>
      </c>
      <c r="D112" s="74" t="s">
        <v>182</v>
      </c>
      <c r="E112" s="3"/>
      <c r="F112" s="67"/>
      <c r="H112" s="74"/>
      <c r="I112" s="61"/>
      <c r="J112" s="40" t="s">
        <v>266</v>
      </c>
      <c r="K112" s="48" t="s">
        <v>269</v>
      </c>
      <c r="L112" s="67"/>
      <c r="M112" s="67"/>
      <c r="N112" s="67"/>
      <c r="O112" s="68"/>
    </row>
    <row r="113">
      <c r="A113" s="39">
        <v>105.0</v>
      </c>
      <c r="B113" s="73" t="s">
        <v>181</v>
      </c>
      <c r="C113" s="72" t="s">
        <v>20</v>
      </c>
      <c r="D113" s="72" t="s">
        <v>183</v>
      </c>
      <c r="E113" s="3"/>
      <c r="F113" s="62">
        <v>80.0</v>
      </c>
      <c r="H113" s="72"/>
      <c r="I113" s="62"/>
      <c r="J113" s="40" t="s">
        <v>283</v>
      </c>
      <c r="K113" s="48" t="s">
        <v>261</v>
      </c>
      <c r="L113" s="64"/>
      <c r="M113" s="64"/>
      <c r="N113" s="64"/>
      <c r="O113" s="65"/>
    </row>
    <row r="114">
      <c r="A114" s="39"/>
      <c r="B114" s="73"/>
      <c r="C114" s="72"/>
      <c r="D114" s="72" t="s">
        <v>326</v>
      </c>
      <c r="E114" s="3"/>
      <c r="F114" s="62"/>
      <c r="H114" s="72"/>
      <c r="I114" s="62"/>
      <c r="J114" s="40" t="s">
        <v>260</v>
      </c>
      <c r="K114" s="48" t="s">
        <v>261</v>
      </c>
      <c r="L114" s="64"/>
      <c r="M114" s="64"/>
      <c r="N114" s="64"/>
      <c r="O114" s="65"/>
    </row>
    <row r="115">
      <c r="A115" s="39"/>
      <c r="B115" s="73"/>
      <c r="C115" s="72"/>
      <c r="D115" s="72" t="s">
        <v>327</v>
      </c>
      <c r="E115" s="3"/>
      <c r="F115" s="62"/>
      <c r="H115" s="72"/>
      <c r="I115" s="62"/>
      <c r="J115" s="40" t="s">
        <v>260</v>
      </c>
      <c r="K115" s="48" t="s">
        <v>261</v>
      </c>
      <c r="L115" s="64"/>
      <c r="M115" s="64"/>
      <c r="N115" s="64"/>
      <c r="O115" s="65"/>
    </row>
    <row r="116">
      <c r="A116" s="39">
        <v>106.0</v>
      </c>
      <c r="B116" s="73" t="s">
        <v>181</v>
      </c>
      <c r="C116" s="72" t="s">
        <v>71</v>
      </c>
      <c r="D116" s="72" t="s">
        <v>328</v>
      </c>
      <c r="E116" s="3"/>
      <c r="F116" s="62">
        <v>4.0</v>
      </c>
      <c r="H116" s="72"/>
      <c r="I116" s="62"/>
      <c r="J116" s="40" t="s">
        <v>260</v>
      </c>
      <c r="K116" s="48" t="s">
        <v>277</v>
      </c>
      <c r="L116" s="64"/>
      <c r="M116" s="64"/>
      <c r="N116" s="64"/>
      <c r="O116" s="77"/>
    </row>
    <row r="117">
      <c r="A117" s="39">
        <v>107.0</v>
      </c>
      <c r="B117" s="73" t="s">
        <v>181</v>
      </c>
      <c r="C117" s="72" t="s">
        <v>20</v>
      </c>
      <c r="D117" s="72" t="s">
        <v>184</v>
      </c>
      <c r="E117" s="3"/>
      <c r="F117" s="62">
        <v>90.0</v>
      </c>
      <c r="H117" s="72"/>
      <c r="I117" s="62"/>
      <c r="J117" s="40" t="s">
        <v>283</v>
      </c>
      <c r="K117" s="48" t="s">
        <v>277</v>
      </c>
      <c r="L117" s="64"/>
      <c r="M117" s="64"/>
      <c r="N117" s="64"/>
      <c r="O117" s="77"/>
    </row>
    <row r="118">
      <c r="A118" s="39"/>
      <c r="B118" s="73" t="s">
        <v>181</v>
      </c>
      <c r="C118" s="72" t="s">
        <v>20</v>
      </c>
      <c r="D118" s="72" t="s">
        <v>185</v>
      </c>
      <c r="E118" s="3"/>
      <c r="F118" s="62"/>
      <c r="H118" s="72"/>
      <c r="I118" s="62"/>
      <c r="J118" s="40" t="s">
        <v>283</v>
      </c>
      <c r="K118" s="48" t="s">
        <v>261</v>
      </c>
      <c r="L118" s="64"/>
      <c r="M118" s="64"/>
      <c r="N118" s="64"/>
      <c r="O118" s="77"/>
    </row>
    <row r="119">
      <c r="A119" s="39">
        <v>108.0</v>
      </c>
      <c r="B119" s="73" t="s">
        <v>181</v>
      </c>
      <c r="C119" s="72" t="s">
        <v>20</v>
      </c>
      <c r="D119" s="72" t="s">
        <v>186</v>
      </c>
      <c r="E119" s="3"/>
      <c r="F119" s="62">
        <v>150.0</v>
      </c>
      <c r="H119" s="72"/>
      <c r="I119" s="62"/>
      <c r="J119" s="40" t="s">
        <v>283</v>
      </c>
      <c r="K119" s="48" t="s">
        <v>277</v>
      </c>
      <c r="L119" s="64"/>
      <c r="M119" s="64"/>
      <c r="N119" s="64"/>
      <c r="O119" s="77"/>
    </row>
    <row r="120">
      <c r="A120" s="39">
        <v>109.0</v>
      </c>
      <c r="B120" s="75" t="s">
        <v>187</v>
      </c>
      <c r="C120" s="74" t="s">
        <v>88</v>
      </c>
      <c r="D120" s="74" t="s">
        <v>188</v>
      </c>
      <c r="E120" s="118" t="s">
        <v>329</v>
      </c>
      <c r="F120" s="67"/>
      <c r="H120" s="74"/>
      <c r="I120" s="61"/>
      <c r="J120" s="40" t="s">
        <v>260</v>
      </c>
      <c r="K120" s="48" t="s">
        <v>269</v>
      </c>
      <c r="L120" s="67"/>
      <c r="M120" s="67"/>
      <c r="N120" s="67"/>
      <c r="O120" s="78"/>
    </row>
    <row r="121">
      <c r="A121" s="39">
        <v>110.0</v>
      </c>
      <c r="B121" s="73" t="s">
        <v>187</v>
      </c>
      <c r="C121" s="72" t="s">
        <v>20</v>
      </c>
      <c r="D121" s="72" t="s">
        <v>189</v>
      </c>
      <c r="E121" s="3"/>
      <c r="F121" s="62">
        <v>16.0</v>
      </c>
      <c r="H121" s="72"/>
      <c r="I121" s="62"/>
      <c r="J121" s="40" t="s">
        <v>260</v>
      </c>
      <c r="K121" s="48" t="s">
        <v>277</v>
      </c>
      <c r="L121" s="64"/>
      <c r="M121" s="64"/>
      <c r="N121" s="64"/>
      <c r="O121" s="77"/>
    </row>
    <row r="122">
      <c r="A122" s="39">
        <v>111.0</v>
      </c>
      <c r="B122" s="73" t="s">
        <v>187</v>
      </c>
      <c r="C122" s="72" t="s">
        <v>71</v>
      </c>
      <c r="D122" s="72" t="s">
        <v>190</v>
      </c>
      <c r="E122" s="3"/>
      <c r="F122" s="62">
        <v>40.0</v>
      </c>
      <c r="H122" s="72" t="s">
        <v>191</v>
      </c>
      <c r="I122" s="62"/>
      <c r="J122" s="40" t="s">
        <v>260</v>
      </c>
      <c r="K122" s="48" t="s">
        <v>269</v>
      </c>
      <c r="L122" s="64"/>
      <c r="M122" s="64"/>
      <c r="N122" s="64"/>
      <c r="O122" s="77"/>
    </row>
    <row r="123">
      <c r="A123" s="39">
        <v>112.0</v>
      </c>
      <c r="B123" s="73" t="s">
        <v>187</v>
      </c>
      <c r="C123" s="72" t="s">
        <v>71</v>
      </c>
      <c r="D123" s="72" t="s">
        <v>192</v>
      </c>
      <c r="E123" s="147" t="s">
        <v>330</v>
      </c>
      <c r="F123" s="64"/>
      <c r="H123" s="72"/>
      <c r="I123" s="62"/>
      <c r="J123" s="40" t="s">
        <v>266</v>
      </c>
      <c r="K123" s="48" t="s">
        <v>269</v>
      </c>
      <c r="L123" s="64"/>
      <c r="M123" s="64"/>
      <c r="N123" s="64"/>
      <c r="O123" s="77"/>
    </row>
    <row r="124">
      <c r="A124" s="39">
        <v>113.0</v>
      </c>
      <c r="B124" s="70" t="s">
        <v>193</v>
      </c>
      <c r="C124" s="61" t="s">
        <v>88</v>
      </c>
      <c r="D124" s="61" t="s">
        <v>194</v>
      </c>
      <c r="E124" s="3"/>
      <c r="F124" s="62"/>
      <c r="H124" s="62"/>
      <c r="I124" s="62"/>
      <c r="J124" s="40" t="s">
        <v>260</v>
      </c>
      <c r="K124" s="48" t="s">
        <v>269</v>
      </c>
      <c r="L124" s="64"/>
      <c r="M124" s="64"/>
      <c r="N124" s="64"/>
      <c r="O124" s="77"/>
    </row>
    <row r="125">
      <c r="A125" s="39">
        <v>114.0</v>
      </c>
      <c r="B125" s="60" t="s">
        <v>195</v>
      </c>
      <c r="C125" s="61" t="s">
        <v>88</v>
      </c>
      <c r="D125" s="74" t="s">
        <v>196</v>
      </c>
      <c r="E125" s="118" t="s">
        <v>331</v>
      </c>
      <c r="F125" s="67"/>
      <c r="H125" s="61"/>
      <c r="I125" s="61"/>
      <c r="J125" s="40" t="s">
        <v>260</v>
      </c>
      <c r="K125" s="48" t="s">
        <v>269</v>
      </c>
      <c r="L125" s="67"/>
      <c r="M125" s="67"/>
      <c r="N125" s="67"/>
      <c r="O125" s="78"/>
    </row>
    <row r="126">
      <c r="A126" s="39">
        <v>115.0</v>
      </c>
      <c r="B126" s="79" t="s">
        <v>195</v>
      </c>
      <c r="C126" s="72" t="s">
        <v>20</v>
      </c>
      <c r="D126" s="153" t="s">
        <v>197</v>
      </c>
      <c r="E126" s="149" t="s">
        <v>332</v>
      </c>
      <c r="F126" s="81"/>
      <c r="H126" s="72"/>
      <c r="I126" s="72"/>
      <c r="J126" s="40" t="s">
        <v>260</v>
      </c>
      <c r="K126" s="48" t="s">
        <v>277</v>
      </c>
      <c r="L126" s="81"/>
      <c r="M126" s="81"/>
      <c r="N126" s="81"/>
      <c r="O126" s="82"/>
    </row>
    <row r="127">
      <c r="A127" s="39">
        <v>116.0</v>
      </c>
      <c r="B127" s="79" t="s">
        <v>195</v>
      </c>
      <c r="C127" s="72" t="s">
        <v>71</v>
      </c>
      <c r="D127" s="72" t="s">
        <v>198</v>
      </c>
      <c r="E127" s="3"/>
      <c r="F127" s="72">
        <v>2.0</v>
      </c>
      <c r="H127" s="72"/>
      <c r="I127" s="72"/>
      <c r="J127" s="40" t="s">
        <v>260</v>
      </c>
      <c r="K127" s="48" t="s">
        <v>269</v>
      </c>
      <c r="L127" s="81"/>
      <c r="M127" s="81"/>
      <c r="N127" s="81"/>
      <c r="O127" s="82"/>
    </row>
    <row r="128">
      <c r="A128" s="39">
        <v>117.0</v>
      </c>
      <c r="B128" s="79" t="s">
        <v>195</v>
      </c>
      <c r="C128" s="72" t="s">
        <v>20</v>
      </c>
      <c r="D128" s="72" t="s">
        <v>199</v>
      </c>
      <c r="E128" s="3"/>
      <c r="F128" s="72">
        <v>2.0</v>
      </c>
      <c r="H128" s="72"/>
      <c r="I128" s="72"/>
      <c r="J128" s="40" t="s">
        <v>260</v>
      </c>
      <c r="K128" s="48" t="s">
        <v>269</v>
      </c>
      <c r="L128" s="81"/>
      <c r="M128" s="81"/>
      <c r="N128" s="81"/>
      <c r="O128" s="82"/>
    </row>
    <row r="129">
      <c r="A129" s="39">
        <v>118.0</v>
      </c>
      <c r="B129" s="79" t="s">
        <v>195</v>
      </c>
      <c r="C129" s="72" t="s">
        <v>71</v>
      </c>
      <c r="D129" s="72" t="s">
        <v>200</v>
      </c>
      <c r="E129" s="118" t="s">
        <v>333</v>
      </c>
      <c r="F129" s="72">
        <v>2.0</v>
      </c>
      <c r="H129" s="72"/>
      <c r="I129" s="72"/>
      <c r="J129" s="40" t="s">
        <v>260</v>
      </c>
      <c r="K129" s="48" t="s">
        <v>269</v>
      </c>
      <c r="L129" s="81"/>
      <c r="M129" s="81"/>
      <c r="N129" s="81"/>
      <c r="O129" s="82"/>
    </row>
    <row r="130">
      <c r="A130" s="39">
        <v>119.0</v>
      </c>
      <c r="B130" s="79" t="s">
        <v>195</v>
      </c>
      <c r="C130" s="72" t="s">
        <v>71</v>
      </c>
      <c r="D130" s="153" t="s">
        <v>201</v>
      </c>
      <c r="E130" s="149" t="s">
        <v>334</v>
      </c>
      <c r="F130" s="81"/>
      <c r="H130" s="72"/>
      <c r="I130" s="72"/>
      <c r="J130" s="40" t="s">
        <v>266</v>
      </c>
      <c r="K130" s="48" t="s">
        <v>269</v>
      </c>
      <c r="L130" s="81"/>
      <c r="M130" s="81"/>
      <c r="N130" s="81"/>
      <c r="O130" s="82"/>
    </row>
    <row r="131">
      <c r="A131" s="39">
        <v>120.0</v>
      </c>
      <c r="B131" s="79" t="s">
        <v>195</v>
      </c>
      <c r="C131" s="72" t="s">
        <v>71</v>
      </c>
      <c r="D131" s="154" t="s">
        <v>202</v>
      </c>
      <c r="E131" s="147" t="s">
        <v>335</v>
      </c>
      <c r="F131" s="81"/>
      <c r="H131" s="72"/>
      <c r="I131" s="72"/>
      <c r="J131" s="40" t="s">
        <v>260</v>
      </c>
      <c r="K131" s="48" t="s">
        <v>269</v>
      </c>
      <c r="L131" s="81"/>
      <c r="M131" s="81"/>
      <c r="N131" s="81"/>
      <c r="O131" s="82"/>
    </row>
    <row r="132" hidden="1">
      <c r="A132" s="39"/>
      <c r="B132" s="79"/>
      <c r="C132" s="72"/>
      <c r="D132" s="72"/>
      <c r="E132" s="3"/>
      <c r="F132" s="81"/>
      <c r="H132" s="72"/>
      <c r="I132" s="72"/>
      <c r="J132" s="40"/>
      <c r="K132" s="48"/>
      <c r="L132" s="81"/>
      <c r="M132" s="81"/>
      <c r="N132" s="81"/>
      <c r="O132" s="82"/>
    </row>
    <row r="133">
      <c r="A133" s="39">
        <v>122.0</v>
      </c>
      <c r="B133" s="79" t="s">
        <v>195</v>
      </c>
      <c r="C133" s="72" t="s">
        <v>71</v>
      </c>
      <c r="D133" s="72" t="s">
        <v>204</v>
      </c>
      <c r="E133" s="3"/>
      <c r="F133" s="81"/>
      <c r="H133" s="72"/>
      <c r="I133" s="72"/>
      <c r="J133" s="40" t="s">
        <v>260</v>
      </c>
      <c r="K133" s="48" t="s">
        <v>269</v>
      </c>
      <c r="L133" s="81"/>
      <c r="M133" s="81"/>
      <c r="N133" s="81"/>
      <c r="O133" s="82"/>
    </row>
    <row r="134">
      <c r="A134" s="39">
        <v>123.0</v>
      </c>
      <c r="B134" s="79" t="s">
        <v>195</v>
      </c>
      <c r="C134" s="72" t="s">
        <v>20</v>
      </c>
      <c r="D134" s="72" t="s">
        <v>205</v>
      </c>
      <c r="E134" s="147" t="s">
        <v>335</v>
      </c>
      <c r="F134" s="81"/>
      <c r="H134" s="72" t="s">
        <v>206</v>
      </c>
      <c r="I134" s="72"/>
      <c r="J134" s="40" t="s">
        <v>266</v>
      </c>
      <c r="K134" s="48" t="s">
        <v>262</v>
      </c>
      <c r="L134" s="81"/>
      <c r="M134" s="81"/>
      <c r="N134" s="81"/>
      <c r="O134" s="82"/>
    </row>
    <row r="135">
      <c r="A135" s="39">
        <v>124.0</v>
      </c>
      <c r="B135" s="79" t="s">
        <v>195</v>
      </c>
      <c r="C135" s="72" t="s">
        <v>71</v>
      </c>
      <c r="D135" s="72" t="s">
        <v>207</v>
      </c>
      <c r="E135" s="147" t="s">
        <v>335</v>
      </c>
      <c r="F135" s="81"/>
      <c r="H135" s="72"/>
      <c r="I135" s="72"/>
      <c r="J135" s="40" t="s">
        <v>260</v>
      </c>
      <c r="K135" s="48" t="s">
        <v>269</v>
      </c>
      <c r="L135" s="81"/>
      <c r="M135" s="81"/>
      <c r="N135" s="81"/>
      <c r="O135" s="82"/>
    </row>
    <row r="136">
      <c r="A136" s="39">
        <v>125.0</v>
      </c>
      <c r="B136" s="79" t="s">
        <v>195</v>
      </c>
      <c r="C136" s="72" t="s">
        <v>20</v>
      </c>
      <c r="D136" s="72" t="s">
        <v>208</v>
      </c>
      <c r="E136" s="147" t="s">
        <v>335</v>
      </c>
      <c r="F136" s="81"/>
      <c r="H136" s="72"/>
      <c r="I136" s="72"/>
      <c r="J136" s="40" t="s">
        <v>260</v>
      </c>
      <c r="K136" s="48" t="s">
        <v>263</v>
      </c>
      <c r="L136" s="81"/>
      <c r="M136" s="81"/>
      <c r="N136" s="81"/>
      <c r="O136" s="82"/>
    </row>
    <row r="137">
      <c r="A137" s="39">
        <v>126.0</v>
      </c>
      <c r="B137" s="79" t="s">
        <v>195</v>
      </c>
      <c r="C137" s="72" t="s">
        <v>71</v>
      </c>
      <c r="D137" s="72" t="s">
        <v>336</v>
      </c>
      <c r="E137" s="147" t="s">
        <v>335</v>
      </c>
      <c r="F137" s="81"/>
      <c r="H137" s="72" t="s">
        <v>210</v>
      </c>
      <c r="I137" s="72"/>
      <c r="J137" s="40" t="s">
        <v>283</v>
      </c>
      <c r="K137" s="48" t="s">
        <v>263</v>
      </c>
      <c r="L137" s="81"/>
      <c r="M137" s="81"/>
      <c r="N137" s="81"/>
      <c r="O137" s="82"/>
    </row>
    <row r="138" hidden="1">
      <c r="A138" s="39"/>
      <c r="B138" s="79"/>
      <c r="C138" s="72" t="s">
        <v>71</v>
      </c>
      <c r="D138" s="72" t="s">
        <v>337</v>
      </c>
      <c r="E138" s="3"/>
      <c r="F138" s="81"/>
      <c r="H138" s="72"/>
      <c r="I138" s="72"/>
      <c r="J138" s="40"/>
      <c r="K138" s="48"/>
      <c r="L138" s="81"/>
      <c r="M138" s="81"/>
      <c r="N138" s="81"/>
      <c r="O138" s="82"/>
    </row>
    <row r="139">
      <c r="A139" s="39">
        <v>127.0</v>
      </c>
      <c r="B139" s="79" t="s">
        <v>195</v>
      </c>
      <c r="C139" s="72" t="s">
        <v>20</v>
      </c>
      <c r="D139" s="72" t="s">
        <v>212</v>
      </c>
      <c r="E139" s="3"/>
      <c r="F139" s="81"/>
      <c r="H139" s="72"/>
      <c r="I139" s="72"/>
      <c r="J139" s="40" t="s">
        <v>260</v>
      </c>
      <c r="K139" s="48" t="s">
        <v>263</v>
      </c>
      <c r="L139" s="81"/>
      <c r="M139" s="81"/>
      <c r="N139" s="81"/>
      <c r="O139" s="82"/>
    </row>
    <row r="140">
      <c r="A140" s="39">
        <v>128.0</v>
      </c>
      <c r="B140" s="79" t="s">
        <v>195</v>
      </c>
      <c r="C140" s="72" t="s">
        <v>20</v>
      </c>
      <c r="D140" s="72" t="s">
        <v>338</v>
      </c>
      <c r="E140" s="3"/>
      <c r="F140" s="81"/>
      <c r="H140" s="72"/>
      <c r="I140" s="72"/>
      <c r="J140" s="40" t="s">
        <v>260</v>
      </c>
      <c r="K140" s="48" t="s">
        <v>263</v>
      </c>
      <c r="L140" s="81"/>
      <c r="M140" s="81"/>
      <c r="N140" s="81"/>
      <c r="O140" s="83"/>
    </row>
    <row r="141">
      <c r="A141" s="39">
        <v>129.0</v>
      </c>
      <c r="B141" s="79" t="s">
        <v>195</v>
      </c>
      <c r="C141" s="72" t="s">
        <v>20</v>
      </c>
      <c r="D141" s="72" t="s">
        <v>214</v>
      </c>
      <c r="F141" s="72">
        <v>80.0</v>
      </c>
      <c r="H141" s="72"/>
      <c r="I141" s="72"/>
      <c r="J141" s="40" t="s">
        <v>266</v>
      </c>
      <c r="K141" s="48" t="s">
        <v>277</v>
      </c>
      <c r="L141" s="81"/>
      <c r="M141" s="81"/>
      <c r="N141" s="81"/>
      <c r="O141" s="83"/>
    </row>
    <row r="142">
      <c r="A142" s="39">
        <v>130.0</v>
      </c>
      <c r="B142" s="79"/>
      <c r="C142" s="72" t="s">
        <v>20</v>
      </c>
      <c r="D142" s="72" t="s">
        <v>215</v>
      </c>
      <c r="E142" s="118"/>
      <c r="F142" s="72">
        <v>20.0</v>
      </c>
      <c r="H142" s="72"/>
      <c r="I142" s="72"/>
      <c r="J142" s="40" t="s">
        <v>283</v>
      </c>
      <c r="K142" s="48" t="s">
        <v>277</v>
      </c>
      <c r="L142" s="81"/>
      <c r="M142" s="81"/>
      <c r="N142" s="81"/>
      <c r="O142" s="83"/>
    </row>
    <row r="143">
      <c r="A143" s="39">
        <v>131.0</v>
      </c>
      <c r="B143" s="79" t="s">
        <v>195</v>
      </c>
      <c r="C143" s="72" t="s">
        <v>71</v>
      </c>
      <c r="D143" s="72" t="s">
        <v>216</v>
      </c>
      <c r="E143" s="3"/>
      <c r="F143" s="81"/>
      <c r="H143" s="72"/>
      <c r="I143" s="72"/>
      <c r="J143" s="40" t="s">
        <v>260</v>
      </c>
      <c r="K143" s="48" t="s">
        <v>269</v>
      </c>
      <c r="L143" s="81"/>
      <c r="M143" s="81"/>
      <c r="N143" s="81"/>
      <c r="O143" s="83"/>
    </row>
    <row r="144">
      <c r="A144" s="39">
        <v>132.0</v>
      </c>
      <c r="B144" s="79" t="s">
        <v>195</v>
      </c>
      <c r="C144" s="72" t="s">
        <v>20</v>
      </c>
      <c r="D144" s="72" t="s">
        <v>217</v>
      </c>
      <c r="E144" s="3"/>
      <c r="F144" s="81"/>
      <c r="H144" s="72"/>
      <c r="I144" s="72"/>
      <c r="J144" s="40" t="s">
        <v>260</v>
      </c>
      <c r="K144" s="48" t="s">
        <v>269</v>
      </c>
      <c r="L144" s="81"/>
      <c r="M144" s="81"/>
      <c r="N144" s="81"/>
      <c r="O144" s="83"/>
    </row>
    <row r="145">
      <c r="A145" s="39">
        <v>133.0</v>
      </c>
      <c r="B145" s="79" t="s">
        <v>195</v>
      </c>
      <c r="C145" s="72" t="s">
        <v>20</v>
      </c>
      <c r="D145" s="72" t="s">
        <v>218</v>
      </c>
      <c r="E145" s="3"/>
      <c r="F145" s="72">
        <v>4.0</v>
      </c>
      <c r="H145" s="72"/>
      <c r="I145" s="72"/>
      <c r="J145" s="40" t="s">
        <v>266</v>
      </c>
      <c r="K145" s="48" t="s">
        <v>269</v>
      </c>
      <c r="L145" s="81"/>
      <c r="M145" s="81"/>
      <c r="N145" s="81"/>
      <c r="O145" s="83"/>
    </row>
    <row r="146">
      <c r="A146" s="39">
        <v>134.0</v>
      </c>
      <c r="B146" s="79" t="s">
        <v>195</v>
      </c>
      <c r="C146" s="84" t="s">
        <v>20</v>
      </c>
      <c r="D146" s="84" t="s">
        <v>219</v>
      </c>
      <c r="E146" s="147" t="s">
        <v>335</v>
      </c>
      <c r="F146" s="86"/>
      <c r="H146" s="84"/>
      <c r="I146" s="84"/>
      <c r="J146" s="40" t="s">
        <v>280</v>
      </c>
      <c r="K146" s="48" t="s">
        <v>269</v>
      </c>
      <c r="L146" s="86"/>
      <c r="M146" s="86"/>
      <c r="N146" s="86"/>
      <c r="O146" s="87"/>
    </row>
    <row r="147">
      <c r="A147" s="39">
        <v>135.0</v>
      </c>
      <c r="B147" s="88" t="s">
        <v>220</v>
      </c>
      <c r="C147" s="89"/>
      <c r="D147" s="89"/>
      <c r="E147" s="3"/>
      <c r="F147" s="91"/>
      <c r="H147" s="89"/>
      <c r="I147" s="89"/>
      <c r="J147" s="40" t="s">
        <v>283</v>
      </c>
      <c r="K147" s="48" t="s">
        <v>277</v>
      </c>
      <c r="L147" s="91"/>
      <c r="M147" s="91"/>
      <c r="N147" s="91"/>
      <c r="O147" s="92"/>
    </row>
    <row r="148">
      <c r="A148" s="39">
        <v>136.0</v>
      </c>
      <c r="B148" s="88" t="s">
        <v>220</v>
      </c>
      <c r="C148" s="89" t="s">
        <v>71</v>
      </c>
      <c r="D148" s="89" t="s">
        <v>222</v>
      </c>
      <c r="E148" s="149" t="s">
        <v>339</v>
      </c>
      <c r="F148" s="91"/>
      <c r="H148" s="89"/>
      <c r="I148" s="89"/>
      <c r="J148" s="40" t="s">
        <v>283</v>
      </c>
      <c r="K148" s="48" t="s">
        <v>263</v>
      </c>
      <c r="L148" s="91"/>
      <c r="M148" s="91"/>
      <c r="N148" s="91"/>
      <c r="O148" s="92"/>
    </row>
    <row r="149">
      <c r="A149" s="39">
        <v>137.0</v>
      </c>
      <c r="B149" s="88" t="s">
        <v>220</v>
      </c>
      <c r="C149" s="93" t="s">
        <v>20</v>
      </c>
      <c r="D149" s="93" t="s">
        <v>223</v>
      </c>
      <c r="E149" s="149" t="s">
        <v>339</v>
      </c>
      <c r="F149" s="95"/>
      <c r="H149" s="93"/>
      <c r="I149" s="93"/>
      <c r="J149" s="40" t="s">
        <v>283</v>
      </c>
      <c r="K149" s="48" t="s">
        <v>263</v>
      </c>
      <c r="L149" s="95"/>
      <c r="M149" s="95"/>
      <c r="N149" s="95"/>
      <c r="O149" s="96"/>
    </row>
    <row r="150">
      <c r="A150" s="39">
        <v>138.0</v>
      </c>
      <c r="B150" s="97" t="s">
        <v>224</v>
      </c>
      <c r="C150" s="98" t="s">
        <v>88</v>
      </c>
      <c r="D150" s="98" t="s">
        <v>225</v>
      </c>
      <c r="E150" s="3"/>
      <c r="F150" s="100"/>
      <c r="H150" s="98"/>
      <c r="I150" s="98"/>
      <c r="J150" s="40" t="s">
        <v>260</v>
      </c>
      <c r="K150" s="48" t="s">
        <v>269</v>
      </c>
      <c r="L150" s="100"/>
      <c r="M150" s="100"/>
      <c r="N150" s="100"/>
      <c r="O150" s="101"/>
    </row>
    <row r="151">
      <c r="A151" s="39">
        <v>139.0</v>
      </c>
      <c r="B151" s="97" t="s">
        <v>226</v>
      </c>
      <c r="C151" s="98" t="s">
        <v>88</v>
      </c>
      <c r="D151" s="102" t="s">
        <v>227</v>
      </c>
      <c r="E151" s="3"/>
      <c r="F151" s="104"/>
      <c r="H151" s="102"/>
      <c r="I151" s="102"/>
      <c r="J151" s="40" t="s">
        <v>260</v>
      </c>
      <c r="K151" s="48" t="s">
        <v>269</v>
      </c>
      <c r="L151" s="104"/>
      <c r="M151" s="104"/>
      <c r="N151" s="104"/>
      <c r="O151" s="105"/>
    </row>
    <row r="152">
      <c r="A152" s="39">
        <v>140.0</v>
      </c>
      <c r="B152" s="106" t="s">
        <v>226</v>
      </c>
      <c r="C152" s="40" t="s">
        <v>71</v>
      </c>
      <c r="D152" s="40" t="s">
        <v>228</v>
      </c>
      <c r="E152" s="3"/>
      <c r="F152" s="40">
        <v>8.0</v>
      </c>
      <c r="H152" s="40"/>
      <c r="I152" s="40"/>
      <c r="J152" s="40" t="s">
        <v>260</v>
      </c>
      <c r="K152" s="48" t="s">
        <v>261</v>
      </c>
      <c r="L152" s="108"/>
      <c r="M152" s="108"/>
      <c r="N152" s="108"/>
      <c r="O152" s="45"/>
    </row>
    <row r="153">
      <c r="A153" s="39">
        <v>141.0</v>
      </c>
      <c r="B153" s="97" t="s">
        <v>229</v>
      </c>
      <c r="C153" s="98" t="s">
        <v>88</v>
      </c>
      <c r="D153" s="102" t="s">
        <v>227</v>
      </c>
      <c r="E153" s="3"/>
      <c r="F153" s="104"/>
      <c r="H153" s="102"/>
      <c r="I153" s="102"/>
      <c r="J153" s="40" t="s">
        <v>260</v>
      </c>
      <c r="K153" s="48" t="s">
        <v>269</v>
      </c>
      <c r="L153" s="104"/>
      <c r="M153" s="104"/>
      <c r="N153" s="104"/>
      <c r="O153" s="105"/>
    </row>
    <row r="154">
      <c r="A154" s="39">
        <v>142.0</v>
      </c>
      <c r="B154" s="106" t="s">
        <v>229</v>
      </c>
      <c r="C154" s="40" t="s">
        <v>71</v>
      </c>
      <c r="D154" s="40" t="s">
        <v>230</v>
      </c>
      <c r="E154" s="3"/>
      <c r="F154" s="40">
        <v>4.0</v>
      </c>
      <c r="H154" s="40" t="s">
        <v>231</v>
      </c>
      <c r="I154" s="40"/>
      <c r="J154" s="40" t="s">
        <v>266</v>
      </c>
      <c r="K154" s="48" t="s">
        <v>261</v>
      </c>
      <c r="L154" s="108"/>
      <c r="M154" s="108"/>
      <c r="N154" s="108"/>
      <c r="O154" s="45"/>
    </row>
    <row r="155">
      <c r="A155" s="39">
        <v>143.0</v>
      </c>
      <c r="B155" s="109" t="s">
        <v>232</v>
      </c>
      <c r="C155" s="102" t="s">
        <v>88</v>
      </c>
      <c r="D155" s="102" t="s">
        <v>233</v>
      </c>
      <c r="E155" s="3"/>
      <c r="F155" s="104"/>
      <c r="H155" s="102"/>
      <c r="I155" s="102"/>
      <c r="J155" s="40" t="s">
        <v>260</v>
      </c>
      <c r="K155" s="48" t="s">
        <v>269</v>
      </c>
      <c r="L155" s="104"/>
      <c r="M155" s="104"/>
      <c r="N155" s="104"/>
      <c r="O155" s="105"/>
    </row>
    <row r="156">
      <c r="A156" s="39">
        <v>144.0</v>
      </c>
      <c r="B156" s="39" t="s">
        <v>232</v>
      </c>
      <c r="C156" s="40" t="s">
        <v>20</v>
      </c>
      <c r="D156" s="40" t="s">
        <v>234</v>
      </c>
      <c r="E156" s="118" t="s">
        <v>340</v>
      </c>
      <c r="F156" s="40">
        <v>2.0</v>
      </c>
      <c r="H156" s="40"/>
      <c r="I156" s="40"/>
      <c r="J156" s="40" t="s">
        <v>260</v>
      </c>
      <c r="K156" s="48" t="s">
        <v>341</v>
      </c>
      <c r="L156" s="108"/>
      <c r="M156" s="108"/>
      <c r="N156" s="108"/>
      <c r="O156" s="45"/>
    </row>
    <row r="157">
      <c r="A157" s="39">
        <v>145.0</v>
      </c>
      <c r="B157" s="39" t="s">
        <v>232</v>
      </c>
      <c r="C157" s="40" t="s">
        <v>20</v>
      </c>
      <c r="D157" s="40" t="s">
        <v>235</v>
      </c>
      <c r="E157" s="3"/>
      <c r="F157" s="40">
        <v>2.0</v>
      </c>
      <c r="H157" s="40"/>
      <c r="I157" s="40"/>
      <c r="J157" s="40" t="s">
        <v>260</v>
      </c>
      <c r="K157" s="48" t="s">
        <v>269</v>
      </c>
      <c r="L157" s="108"/>
      <c r="M157" s="108"/>
      <c r="N157" s="108"/>
      <c r="O157" s="41"/>
    </row>
    <row r="158">
      <c r="A158" s="39">
        <v>146.0</v>
      </c>
      <c r="B158" s="39" t="s">
        <v>232</v>
      </c>
      <c r="C158" s="40" t="s">
        <v>20</v>
      </c>
      <c r="D158" s="40" t="s">
        <v>236</v>
      </c>
      <c r="E158" s="3"/>
      <c r="F158" s="40">
        <v>4.0</v>
      </c>
      <c r="H158" s="40"/>
      <c r="I158" s="40"/>
      <c r="J158" s="40" t="s">
        <v>260</v>
      </c>
      <c r="K158" s="48" t="s">
        <v>262</v>
      </c>
      <c r="L158" s="108"/>
      <c r="M158" s="108"/>
      <c r="N158" s="108"/>
      <c r="O158" s="41"/>
    </row>
    <row r="159">
      <c r="A159" s="39">
        <v>147.0</v>
      </c>
      <c r="B159" s="39" t="s">
        <v>232</v>
      </c>
      <c r="C159" s="40" t="s">
        <v>20</v>
      </c>
      <c r="D159" s="40" t="s">
        <v>237</v>
      </c>
      <c r="E159" s="3"/>
      <c r="F159" s="40">
        <v>2.0</v>
      </c>
      <c r="H159" s="40"/>
      <c r="I159" s="40"/>
      <c r="J159" s="40" t="s">
        <v>260</v>
      </c>
      <c r="K159" s="48" t="s">
        <v>261</v>
      </c>
      <c r="L159" s="108"/>
      <c r="M159" s="108"/>
      <c r="N159" s="108"/>
      <c r="O159" s="41"/>
    </row>
    <row r="160">
      <c r="A160" s="39">
        <v>148.0</v>
      </c>
      <c r="B160" s="39" t="s">
        <v>232</v>
      </c>
      <c r="C160" s="40" t="s">
        <v>71</v>
      </c>
      <c r="D160" s="40" t="s">
        <v>238</v>
      </c>
      <c r="E160" s="3"/>
      <c r="F160" s="40">
        <v>6.0</v>
      </c>
      <c r="H160" s="40"/>
      <c r="I160" s="40"/>
      <c r="J160" s="40" t="s">
        <v>260</v>
      </c>
      <c r="K160" s="48" t="s">
        <v>263</v>
      </c>
      <c r="L160" s="108"/>
      <c r="M160" s="108"/>
      <c r="N160" s="108"/>
      <c r="O160" s="41"/>
    </row>
    <row r="161">
      <c r="A161" s="39">
        <v>149.0</v>
      </c>
      <c r="B161" s="39" t="s">
        <v>232</v>
      </c>
      <c r="C161" s="40" t="s">
        <v>71</v>
      </c>
      <c r="D161" s="40" t="s">
        <v>239</v>
      </c>
      <c r="E161" s="3"/>
      <c r="F161" s="40">
        <v>16.0</v>
      </c>
      <c r="H161" s="40"/>
      <c r="I161" s="40"/>
      <c r="J161" s="40" t="s">
        <v>260</v>
      </c>
      <c r="K161" s="48" t="s">
        <v>261</v>
      </c>
      <c r="L161" s="108"/>
      <c r="M161" s="108"/>
      <c r="N161" s="108"/>
      <c r="O161" s="41"/>
    </row>
    <row r="162">
      <c r="A162" s="39">
        <v>150.0</v>
      </c>
      <c r="B162" s="39" t="s">
        <v>232</v>
      </c>
      <c r="C162" s="40" t="s">
        <v>71</v>
      </c>
      <c r="D162" s="40" t="s">
        <v>240</v>
      </c>
      <c r="E162" s="3"/>
      <c r="F162" s="40">
        <v>8.0</v>
      </c>
      <c r="H162" s="40"/>
      <c r="I162" s="40"/>
      <c r="J162" s="40" t="s">
        <v>260</v>
      </c>
      <c r="K162" s="48" t="s">
        <v>263</v>
      </c>
      <c r="L162" s="108"/>
      <c r="M162" s="108"/>
      <c r="N162" s="108"/>
      <c r="O162" s="41"/>
    </row>
    <row r="163">
      <c r="A163" s="39">
        <v>151.0</v>
      </c>
      <c r="B163" s="39" t="s">
        <v>232</v>
      </c>
      <c r="C163" s="40" t="s">
        <v>71</v>
      </c>
      <c r="D163" s="40" t="s">
        <v>241</v>
      </c>
      <c r="E163" s="3"/>
      <c r="F163" s="40">
        <v>2.0</v>
      </c>
      <c r="H163" s="40"/>
      <c r="I163" s="40"/>
      <c r="J163" s="40" t="s">
        <v>260</v>
      </c>
      <c r="K163" s="48" t="s">
        <v>341</v>
      </c>
      <c r="L163" s="108"/>
      <c r="M163" s="108"/>
      <c r="N163" s="108"/>
      <c r="O163" s="41"/>
    </row>
    <row r="164">
      <c r="A164" s="39">
        <v>152.0</v>
      </c>
      <c r="B164" s="39" t="s">
        <v>232</v>
      </c>
      <c r="C164" s="110" t="s">
        <v>71</v>
      </c>
      <c r="D164" s="110" t="s">
        <v>242</v>
      </c>
      <c r="E164" s="3"/>
      <c r="F164" s="110">
        <v>2.0</v>
      </c>
      <c r="H164" s="110"/>
      <c r="I164" s="110"/>
      <c r="J164" s="40" t="s">
        <v>260</v>
      </c>
      <c r="K164" s="48" t="s">
        <v>261</v>
      </c>
      <c r="L164" s="112"/>
      <c r="M164" s="112"/>
      <c r="N164" s="112"/>
      <c r="O164" s="113"/>
    </row>
    <row r="165">
      <c r="A165" s="39">
        <v>153.0</v>
      </c>
      <c r="B165" s="114" t="s">
        <v>243</v>
      </c>
      <c r="C165" s="98" t="s">
        <v>88</v>
      </c>
      <c r="D165" s="98" t="s">
        <v>233</v>
      </c>
      <c r="E165" s="3"/>
      <c r="F165" s="98">
        <v>16.0</v>
      </c>
      <c r="H165" s="98"/>
      <c r="I165" s="98"/>
      <c r="J165" s="40" t="s">
        <v>266</v>
      </c>
      <c r="K165" s="48" t="s">
        <v>269</v>
      </c>
      <c r="L165" s="100"/>
      <c r="M165" s="100"/>
      <c r="N165" s="100"/>
      <c r="O165" s="115"/>
    </row>
    <row r="166">
      <c r="A166" s="39">
        <v>154.0</v>
      </c>
      <c r="B166" s="117" t="s">
        <v>243</v>
      </c>
      <c r="C166" s="117" t="s">
        <v>71</v>
      </c>
      <c r="D166" s="118" t="s">
        <v>244</v>
      </c>
      <c r="E166" s="147" t="s">
        <v>297</v>
      </c>
      <c r="J166" s="40" t="s">
        <v>260</v>
      </c>
      <c r="K166" s="48" t="s">
        <v>261</v>
      </c>
    </row>
    <row r="167">
      <c r="A167" s="39">
        <v>155.0</v>
      </c>
      <c r="B167" s="106" t="s">
        <v>245</v>
      </c>
      <c r="C167" s="98" t="s">
        <v>88</v>
      </c>
      <c r="D167" s="98" t="s">
        <v>246</v>
      </c>
      <c r="E167" s="3"/>
      <c r="F167" s="119">
        <v>2.0</v>
      </c>
      <c r="H167" s="119"/>
      <c r="I167" s="119"/>
      <c r="J167" s="40" t="s">
        <v>260</v>
      </c>
      <c r="K167" s="48" t="s">
        <v>269</v>
      </c>
      <c r="L167" s="121"/>
      <c r="M167" s="121"/>
      <c r="N167" s="121"/>
      <c r="O167" s="122"/>
    </row>
    <row r="168">
      <c r="A168" s="39">
        <v>156.0</v>
      </c>
      <c r="B168" s="106" t="s">
        <v>247</v>
      </c>
      <c r="C168" s="119" t="s">
        <v>88</v>
      </c>
      <c r="D168" s="98" t="s">
        <v>248</v>
      </c>
      <c r="E168" s="3"/>
      <c r="F168" s="119">
        <v>16.0</v>
      </c>
      <c r="H168" s="119"/>
      <c r="I168" s="119"/>
      <c r="J168" s="40" t="s">
        <v>260</v>
      </c>
      <c r="K168" s="48" t="s">
        <v>269</v>
      </c>
      <c r="L168" s="121"/>
      <c r="M168" s="121"/>
      <c r="N168" s="121"/>
      <c r="O168" s="122"/>
    </row>
    <row r="169">
      <c r="A169" s="39">
        <v>157.0</v>
      </c>
      <c r="E169" s="3"/>
    </row>
    <row r="170">
      <c r="A170" s="39">
        <v>158.0</v>
      </c>
      <c r="B170" s="117" t="s">
        <v>342</v>
      </c>
      <c r="D170" s="118" t="s">
        <v>343</v>
      </c>
      <c r="F170" s="117">
        <v>50.0</v>
      </c>
    </row>
    <row r="171">
      <c r="A171" s="39">
        <v>159.0</v>
      </c>
      <c r="B171" s="117" t="s">
        <v>344</v>
      </c>
      <c r="D171" s="118" t="s">
        <v>345</v>
      </c>
      <c r="E171" s="3"/>
      <c r="F171" s="117">
        <v>20.0</v>
      </c>
    </row>
    <row r="172">
      <c r="A172" s="39">
        <v>160.0</v>
      </c>
      <c r="B172" s="117" t="s">
        <v>346</v>
      </c>
      <c r="D172" s="118" t="s">
        <v>347</v>
      </c>
      <c r="E172" s="3"/>
      <c r="F172" s="117">
        <v>24.0</v>
      </c>
    </row>
    <row r="173">
      <c r="A173" s="39">
        <v>161.0</v>
      </c>
      <c r="E173" s="3"/>
    </row>
    <row r="174">
      <c r="A174" s="39">
        <v>162.0</v>
      </c>
      <c r="B174" s="128" t="s">
        <v>249</v>
      </c>
      <c r="C174" s="129" t="s">
        <v>20</v>
      </c>
      <c r="D174" s="129" t="s">
        <v>250</v>
      </c>
      <c r="E174" s="3"/>
      <c r="F174" s="155">
        <f>SUM(F3:F173)</f>
        <v>2354</v>
      </c>
      <c r="H174" s="155">
        <f>F174/8</f>
        <v>294.25</v>
      </c>
    </row>
    <row r="175">
      <c r="A175" s="39">
        <v>163.0</v>
      </c>
      <c r="B175" s="128" t="s">
        <v>249</v>
      </c>
      <c r="C175" s="129" t="s">
        <v>20</v>
      </c>
      <c r="D175" s="129" t="s">
        <v>251</v>
      </c>
      <c r="E175" s="3"/>
    </row>
    <row r="176">
      <c r="A176" s="39">
        <v>164.0</v>
      </c>
      <c r="B176" s="128" t="s">
        <v>249</v>
      </c>
      <c r="C176" s="129" t="s">
        <v>20</v>
      </c>
      <c r="D176" s="129" t="s">
        <v>252</v>
      </c>
      <c r="E176" s="3"/>
    </row>
    <row r="177">
      <c r="A177" s="39">
        <v>165.0</v>
      </c>
      <c r="B177" s="128" t="s">
        <v>249</v>
      </c>
      <c r="C177" s="129" t="s">
        <v>71</v>
      </c>
      <c r="D177" s="129" t="s">
        <v>253</v>
      </c>
      <c r="E177" s="3"/>
    </row>
    <row r="178">
      <c r="A178" s="39">
        <v>166.0</v>
      </c>
      <c r="B178" s="128" t="s">
        <v>249</v>
      </c>
      <c r="C178" s="129" t="s">
        <v>20</v>
      </c>
      <c r="D178" s="129" t="s">
        <v>254</v>
      </c>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row r="1001">
      <c r="E1001" s="3"/>
    </row>
    <row r="1002">
      <c r="E1002" s="3"/>
    </row>
    <row r="1003">
      <c r="E1003" s="3"/>
    </row>
    <row r="1004">
      <c r="E1004" s="3"/>
    </row>
    <row r="1005">
      <c r="E1005" s="3"/>
    </row>
    <row r="1006">
      <c r="E1006" s="3"/>
    </row>
    <row r="1007">
      <c r="E1007" s="3"/>
    </row>
    <row r="1008">
      <c r="E1008" s="3"/>
    </row>
    <row r="1009">
      <c r="E1009" s="3"/>
    </row>
    <row r="1010">
      <c r="E1010" s="3"/>
    </row>
    <row r="1011">
      <c r="E1011" s="3"/>
    </row>
    <row r="1012">
      <c r="E1012" s="3"/>
    </row>
  </sheetData>
  <autoFilter ref="$B$2:$Z$168">
    <filterColumn colId="8">
      <filters>
        <filter val="Eco"/>
        <filter val="Excite"/>
        <filter val="Features"/>
        <filter val="Unic"/>
        <filter val="Must"/>
      </filters>
    </filterColumn>
  </autoFilter>
  <mergeCells count="5">
    <mergeCell ref="F43:F46"/>
    <mergeCell ref="E48:E55"/>
    <mergeCell ref="F84:F85"/>
    <mergeCell ref="F99:F100"/>
    <mergeCell ref="F101:F103"/>
  </mergeCells>
  <dataValidations>
    <dataValidation type="list" allowBlank="1" showErrorMessage="1" sqref="K3:K9 K11 K13:K168">
      <formula1>"база данных,интеграция с платежной системой,автоматические уведомления без сложной логики,AI-аналитика,администрирование,эскалация,интеграция с ТГ,другое,интерфейс"</formula1>
    </dataValidation>
    <dataValidation type="list" allowBlank="1" showErrorMessage="1" sqref="J3:J168">
      <formula1>"уже умеет,50/50,Must,Unic,Excite,Features,Eco"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6.5"/>
    <col customWidth="1" min="3" max="3" width="12.88"/>
    <col customWidth="1" min="4" max="4" width="58.63"/>
    <col customWidth="1" min="5" max="5" width="50.75"/>
    <col customWidth="1" min="6" max="6" width="13.0"/>
    <col customWidth="1" min="7" max="7" width="18.13"/>
    <col customWidth="1" min="8" max="8" width="11.88"/>
    <col customWidth="1" min="9" max="9" width="11.38"/>
    <col customWidth="1" min="10" max="10" width="28.88"/>
    <col customWidth="1" min="11" max="11" width="32.63"/>
    <col customWidth="1" min="12" max="12" width="14.38"/>
    <col customWidth="1" min="13" max="13" width="25.88"/>
  </cols>
  <sheetData>
    <row r="1" ht="166.5" customHeight="1">
      <c r="A1" s="1"/>
      <c r="B1" s="1" t="s">
        <v>64</v>
      </c>
      <c r="C1" s="1" t="s">
        <v>9</v>
      </c>
      <c r="D1" s="1" t="s">
        <v>10</v>
      </c>
      <c r="E1" s="1" t="s">
        <v>255</v>
      </c>
      <c r="F1" s="1" t="s">
        <v>17</v>
      </c>
      <c r="G1" s="1" t="s">
        <v>256</v>
      </c>
      <c r="H1" s="1" t="s">
        <v>11</v>
      </c>
      <c r="I1" s="1" t="s">
        <v>65</v>
      </c>
      <c r="J1" s="1" t="s">
        <v>257</v>
      </c>
      <c r="K1" s="1" t="s">
        <v>67</v>
      </c>
      <c r="L1" s="1" t="s">
        <v>14</v>
      </c>
      <c r="M1" s="1" t="s">
        <v>15</v>
      </c>
      <c r="N1" s="1" t="s">
        <v>16</v>
      </c>
      <c r="O1" s="1" t="s">
        <v>68</v>
      </c>
    </row>
    <row r="2">
      <c r="A2" s="142"/>
      <c r="B2" s="37" t="s">
        <v>9</v>
      </c>
      <c r="C2" s="6" t="s">
        <v>10</v>
      </c>
      <c r="D2" s="6" t="s">
        <v>11</v>
      </c>
      <c r="E2" s="6"/>
      <c r="F2" s="6" t="s">
        <v>17</v>
      </c>
      <c r="G2" s="38" t="s">
        <v>256</v>
      </c>
      <c r="H2" s="6" t="s">
        <v>69</v>
      </c>
      <c r="I2" s="6"/>
      <c r="J2" s="6" t="s">
        <v>12</v>
      </c>
      <c r="K2" s="6" t="s">
        <v>13</v>
      </c>
      <c r="L2" s="6" t="s">
        <v>14</v>
      </c>
      <c r="M2" s="6" t="s">
        <v>15</v>
      </c>
      <c r="N2" s="6" t="s">
        <v>16</v>
      </c>
      <c r="O2" s="38" t="s">
        <v>19</v>
      </c>
    </row>
    <row r="3">
      <c r="A3" s="39">
        <v>1.0</v>
      </c>
      <c r="B3" s="39" t="s">
        <v>70</v>
      </c>
      <c r="C3" s="40" t="s">
        <v>71</v>
      </c>
      <c r="D3" s="40" t="s">
        <v>72</v>
      </c>
      <c r="E3" s="143" t="s">
        <v>258</v>
      </c>
      <c r="F3" s="40">
        <v>16.0</v>
      </c>
      <c r="G3" s="117" t="s">
        <v>259</v>
      </c>
      <c r="H3" s="40"/>
      <c r="I3" s="40"/>
      <c r="J3" s="40" t="s">
        <v>260</v>
      </c>
      <c r="K3" s="40" t="s">
        <v>261</v>
      </c>
      <c r="L3" s="40"/>
      <c r="M3" s="40"/>
      <c r="N3" s="40"/>
      <c r="O3" s="41"/>
    </row>
    <row r="4">
      <c r="A4" s="39">
        <v>2.0</v>
      </c>
      <c r="B4" s="39" t="s">
        <v>70</v>
      </c>
      <c r="C4" s="40" t="s">
        <v>20</v>
      </c>
      <c r="D4" s="40" t="s">
        <v>73</v>
      </c>
      <c r="E4" s="3"/>
      <c r="F4" s="40">
        <v>6.0</v>
      </c>
      <c r="H4" s="40"/>
      <c r="I4" s="40"/>
      <c r="J4" s="40" t="s">
        <v>260</v>
      </c>
      <c r="K4" s="40" t="s">
        <v>262</v>
      </c>
      <c r="L4" s="40"/>
      <c r="M4" s="40"/>
      <c r="N4" s="40"/>
      <c r="O4" s="41"/>
    </row>
    <row r="5">
      <c r="A5" s="39">
        <v>3.0</v>
      </c>
      <c r="B5" s="39" t="s">
        <v>70</v>
      </c>
      <c r="C5" s="40" t="s">
        <v>20</v>
      </c>
      <c r="D5" s="40" t="s">
        <v>74</v>
      </c>
      <c r="E5" s="3"/>
      <c r="F5" s="40">
        <v>10.0</v>
      </c>
      <c r="H5" s="40"/>
      <c r="I5" s="40"/>
      <c r="J5" s="40" t="s">
        <v>260</v>
      </c>
      <c r="K5" s="40" t="s">
        <v>262</v>
      </c>
      <c r="L5" s="40"/>
      <c r="M5" s="40"/>
      <c r="N5" s="40"/>
      <c r="O5" s="41"/>
    </row>
    <row r="6">
      <c r="A6" s="39">
        <v>4.0</v>
      </c>
      <c r="B6" s="39"/>
      <c r="C6" s="40" t="s">
        <v>20</v>
      </c>
      <c r="D6" s="42" t="s">
        <v>75</v>
      </c>
      <c r="E6" s="3"/>
      <c r="F6" s="40"/>
      <c r="H6" s="40"/>
      <c r="I6" s="40"/>
      <c r="J6" s="40" t="s">
        <v>260</v>
      </c>
      <c r="K6" s="40" t="s">
        <v>261</v>
      </c>
      <c r="L6" s="40"/>
      <c r="M6" s="40"/>
      <c r="N6" s="40"/>
      <c r="O6" s="41"/>
    </row>
    <row r="7">
      <c r="A7" s="39">
        <v>5.0</v>
      </c>
      <c r="B7" s="39" t="s">
        <v>70</v>
      </c>
      <c r="C7" s="42" t="s">
        <v>71</v>
      </c>
      <c r="D7" s="42" t="s">
        <v>76</v>
      </c>
      <c r="E7" s="3"/>
      <c r="F7" s="40"/>
      <c r="H7" s="40"/>
      <c r="I7" s="40"/>
      <c r="J7" s="40" t="s">
        <v>260</v>
      </c>
      <c r="K7" s="40" t="s">
        <v>261</v>
      </c>
      <c r="L7" s="40"/>
      <c r="M7" s="40"/>
      <c r="N7" s="40"/>
      <c r="O7" s="41"/>
    </row>
    <row r="8">
      <c r="A8" s="39">
        <v>6.0</v>
      </c>
      <c r="B8" s="39" t="s">
        <v>70</v>
      </c>
      <c r="C8" s="42" t="s">
        <v>71</v>
      </c>
      <c r="D8" s="42" t="s">
        <v>77</v>
      </c>
      <c r="E8" s="3"/>
      <c r="F8" s="40">
        <v>16.0</v>
      </c>
      <c r="H8" s="40"/>
      <c r="I8" s="40"/>
      <c r="J8" s="40" t="s">
        <v>260</v>
      </c>
      <c r="K8" s="40" t="s">
        <v>263</v>
      </c>
      <c r="L8" s="40"/>
      <c r="M8" s="40"/>
      <c r="N8" s="40"/>
      <c r="O8" s="41"/>
    </row>
    <row r="9">
      <c r="A9" s="39">
        <v>7.0</v>
      </c>
      <c r="B9" s="39" t="s">
        <v>70</v>
      </c>
      <c r="C9" s="42" t="s">
        <v>71</v>
      </c>
      <c r="D9" s="42" t="s">
        <v>78</v>
      </c>
      <c r="E9" s="3"/>
      <c r="F9" s="40">
        <v>10.0</v>
      </c>
      <c r="H9" s="40"/>
      <c r="I9" s="40"/>
      <c r="J9" s="40" t="s">
        <v>260</v>
      </c>
      <c r="K9" s="40" t="s">
        <v>263</v>
      </c>
      <c r="L9" s="40"/>
      <c r="M9" s="40"/>
      <c r="N9" s="40"/>
      <c r="O9" s="41"/>
    </row>
    <row r="10">
      <c r="A10" s="39">
        <v>9.0</v>
      </c>
      <c r="B10" s="39" t="s">
        <v>70</v>
      </c>
      <c r="C10" s="42" t="s">
        <v>71</v>
      </c>
      <c r="D10" s="42" t="s">
        <v>80</v>
      </c>
      <c r="E10" s="3"/>
      <c r="F10" s="40"/>
      <c r="H10" s="40"/>
      <c r="I10" s="40"/>
      <c r="J10" s="40" t="s">
        <v>260</v>
      </c>
      <c r="K10" s="40" t="s">
        <v>263</v>
      </c>
      <c r="L10" s="40"/>
      <c r="M10" s="40"/>
      <c r="N10" s="40"/>
      <c r="O10" s="43"/>
    </row>
    <row r="11">
      <c r="A11" s="39">
        <v>10.0</v>
      </c>
      <c r="B11" s="39" t="s">
        <v>70</v>
      </c>
      <c r="C11" s="42" t="s">
        <v>20</v>
      </c>
      <c r="D11" s="42" t="s">
        <v>81</v>
      </c>
      <c r="E11" s="3"/>
      <c r="F11" s="40">
        <v>24.0</v>
      </c>
      <c r="H11" s="40"/>
      <c r="I11" s="40"/>
      <c r="J11" s="40" t="s">
        <v>260</v>
      </c>
      <c r="K11" s="40"/>
      <c r="L11" s="40"/>
      <c r="M11" s="40"/>
      <c r="N11" s="40"/>
      <c r="O11" s="43"/>
    </row>
    <row r="12">
      <c r="A12" s="39">
        <v>11.0</v>
      </c>
      <c r="B12" s="39" t="s">
        <v>70</v>
      </c>
      <c r="C12" s="42" t="s">
        <v>20</v>
      </c>
      <c r="D12" s="42" t="s">
        <v>82</v>
      </c>
      <c r="E12" s="144" t="s">
        <v>267</v>
      </c>
      <c r="F12" s="40"/>
      <c r="G12" s="117" t="s">
        <v>268</v>
      </c>
      <c r="H12" s="40"/>
      <c r="I12" s="40"/>
      <c r="J12" s="40" t="s">
        <v>260</v>
      </c>
      <c r="K12" s="40" t="s">
        <v>261</v>
      </c>
      <c r="L12" s="40"/>
      <c r="M12" s="40"/>
      <c r="N12" s="40"/>
      <c r="O12" s="43"/>
    </row>
    <row r="13">
      <c r="A13" s="39">
        <v>12.0</v>
      </c>
      <c r="B13" s="39" t="s">
        <v>70</v>
      </c>
      <c r="C13" s="44" t="s">
        <v>20</v>
      </c>
      <c r="D13" s="42" t="s">
        <v>83</v>
      </c>
      <c r="E13" s="3"/>
      <c r="F13" s="40">
        <v>6.0</v>
      </c>
      <c r="H13" s="40"/>
      <c r="I13" s="40"/>
      <c r="J13" s="40" t="s">
        <v>260</v>
      </c>
      <c r="K13" s="40" t="s">
        <v>269</v>
      </c>
      <c r="L13" s="40"/>
      <c r="M13" s="40"/>
      <c r="N13" s="40"/>
      <c r="O13" s="45"/>
    </row>
    <row r="14">
      <c r="A14" s="39">
        <v>13.0</v>
      </c>
      <c r="B14" s="39" t="s">
        <v>70</v>
      </c>
      <c r="C14" s="42" t="s">
        <v>20</v>
      </c>
      <c r="D14" s="42" t="s">
        <v>84</v>
      </c>
      <c r="E14" s="144" t="s">
        <v>270</v>
      </c>
      <c r="F14" s="40">
        <v>4.0</v>
      </c>
      <c r="G14" s="117" t="s">
        <v>268</v>
      </c>
      <c r="H14" s="40"/>
      <c r="I14" s="40"/>
      <c r="J14" s="40" t="s">
        <v>260</v>
      </c>
      <c r="K14" s="40" t="s">
        <v>261</v>
      </c>
      <c r="L14" s="40"/>
      <c r="M14" s="40"/>
      <c r="N14" s="40"/>
      <c r="O14" s="43"/>
    </row>
    <row r="15">
      <c r="A15" s="39">
        <v>14.0</v>
      </c>
      <c r="B15" s="39" t="s">
        <v>70</v>
      </c>
      <c r="C15" s="42" t="s">
        <v>20</v>
      </c>
      <c r="D15" s="42" t="s">
        <v>85</v>
      </c>
      <c r="E15" s="3"/>
      <c r="F15" s="40">
        <v>4.0</v>
      </c>
      <c r="H15" s="40"/>
      <c r="I15" s="40"/>
      <c r="J15" s="40" t="s">
        <v>260</v>
      </c>
      <c r="K15" s="40" t="s">
        <v>269</v>
      </c>
      <c r="L15" s="40"/>
      <c r="M15" s="40"/>
      <c r="N15" s="40"/>
      <c r="O15" s="43"/>
    </row>
    <row r="16">
      <c r="A16" s="39">
        <v>15.0</v>
      </c>
      <c r="B16" s="39" t="s">
        <v>70</v>
      </c>
      <c r="C16" s="42" t="s">
        <v>20</v>
      </c>
      <c r="D16" s="42" t="s">
        <v>86</v>
      </c>
      <c r="E16" s="3"/>
      <c r="F16" s="40"/>
      <c r="H16" s="40"/>
      <c r="I16" s="40"/>
      <c r="J16" s="40" t="s">
        <v>260</v>
      </c>
      <c r="K16" s="40" t="s">
        <v>269</v>
      </c>
      <c r="L16" s="40"/>
      <c r="M16" s="40"/>
      <c r="N16" s="40"/>
      <c r="O16" s="43"/>
    </row>
    <row r="17">
      <c r="A17" s="39">
        <v>16.0</v>
      </c>
      <c r="B17" s="46" t="s">
        <v>87</v>
      </c>
      <c r="C17" s="47" t="s">
        <v>88</v>
      </c>
      <c r="D17" s="47" t="s">
        <v>89</v>
      </c>
      <c r="E17" s="144" t="s">
        <v>271</v>
      </c>
      <c r="F17" s="48">
        <v>16.0</v>
      </c>
      <c r="G17" s="118" t="s">
        <v>272</v>
      </c>
      <c r="H17" s="48"/>
      <c r="I17" s="48"/>
      <c r="J17" s="40" t="s">
        <v>260</v>
      </c>
      <c r="K17" s="48" t="s">
        <v>269</v>
      </c>
      <c r="L17" s="50"/>
      <c r="M17" s="50"/>
      <c r="N17" s="50"/>
      <c r="O17" s="51"/>
    </row>
    <row r="18" ht="30.0" customHeight="1">
      <c r="A18" s="39">
        <v>17.0</v>
      </c>
      <c r="B18" s="145" t="s">
        <v>87</v>
      </c>
      <c r="C18" s="48" t="s">
        <v>20</v>
      </c>
      <c r="D18" s="48" t="s">
        <v>273</v>
      </c>
      <c r="E18" s="118"/>
      <c r="F18" s="50"/>
      <c r="H18" s="48"/>
      <c r="I18" s="48"/>
      <c r="J18" s="40" t="s">
        <v>260</v>
      </c>
      <c r="K18" s="48"/>
      <c r="L18" s="50"/>
      <c r="M18" s="50"/>
      <c r="N18" s="50"/>
      <c r="O18" s="51"/>
    </row>
    <row r="19">
      <c r="A19" s="39">
        <v>20.0</v>
      </c>
      <c r="B19" s="52" t="s">
        <v>87</v>
      </c>
      <c r="C19" s="48" t="s">
        <v>20</v>
      </c>
      <c r="D19" s="48" t="s">
        <v>92</v>
      </c>
      <c r="E19" s="118" t="s">
        <v>281</v>
      </c>
      <c r="F19" s="50"/>
      <c r="H19" s="48"/>
      <c r="I19" s="48"/>
      <c r="J19" s="40" t="s">
        <v>260</v>
      </c>
      <c r="K19" s="48" t="s">
        <v>277</v>
      </c>
      <c r="L19" s="50"/>
      <c r="M19" s="50"/>
      <c r="N19" s="50"/>
      <c r="O19" s="51"/>
    </row>
    <row r="20">
      <c r="A20" s="39">
        <v>22.0</v>
      </c>
      <c r="B20" s="52" t="s">
        <v>87</v>
      </c>
      <c r="C20" s="48" t="s">
        <v>20</v>
      </c>
      <c r="D20" s="48" t="s">
        <v>94</v>
      </c>
      <c r="E20" s="3"/>
      <c r="F20" s="48">
        <v>2.0</v>
      </c>
      <c r="H20" s="48"/>
      <c r="I20" s="48"/>
      <c r="J20" s="40" t="s">
        <v>260</v>
      </c>
      <c r="K20" s="48" t="s">
        <v>277</v>
      </c>
      <c r="L20" s="50"/>
      <c r="M20" s="50"/>
      <c r="N20" s="50"/>
      <c r="O20" s="51"/>
    </row>
    <row r="21">
      <c r="A21" s="39">
        <v>23.0</v>
      </c>
      <c r="B21" s="52" t="s">
        <v>87</v>
      </c>
      <c r="C21" s="48" t="s">
        <v>20</v>
      </c>
      <c r="D21" s="48" t="s">
        <v>95</v>
      </c>
      <c r="E21" s="3"/>
      <c r="F21" s="48">
        <v>2.0</v>
      </c>
      <c r="H21" s="48"/>
      <c r="I21" s="48"/>
      <c r="J21" s="40" t="s">
        <v>260</v>
      </c>
      <c r="K21" s="48" t="s">
        <v>269</v>
      </c>
      <c r="L21" s="50"/>
      <c r="M21" s="50"/>
      <c r="N21" s="50"/>
      <c r="O21" s="51"/>
    </row>
    <row r="22">
      <c r="A22" s="39">
        <v>29.0</v>
      </c>
      <c r="B22" s="52" t="s">
        <v>87</v>
      </c>
      <c r="C22" s="48" t="s">
        <v>20</v>
      </c>
      <c r="D22" s="48" t="s">
        <v>102</v>
      </c>
      <c r="E22" s="118" t="s">
        <v>290</v>
      </c>
      <c r="F22" s="48">
        <v>36.0</v>
      </c>
      <c r="H22" s="49"/>
      <c r="I22" s="49"/>
      <c r="J22" s="40" t="s">
        <v>260</v>
      </c>
      <c r="K22" s="48" t="s">
        <v>263</v>
      </c>
      <c r="L22" s="50"/>
      <c r="M22" s="50"/>
      <c r="N22" s="50"/>
      <c r="O22" s="54"/>
    </row>
    <row r="23">
      <c r="A23" s="39">
        <v>31.0</v>
      </c>
      <c r="B23" s="52"/>
      <c r="C23" s="48"/>
      <c r="D23" s="48"/>
      <c r="E23" s="118"/>
      <c r="F23" s="48"/>
      <c r="H23" s="48"/>
      <c r="I23" s="48"/>
      <c r="J23" s="40"/>
      <c r="K23" s="48"/>
      <c r="L23" s="50"/>
      <c r="M23" s="50"/>
      <c r="N23" s="50"/>
      <c r="O23" s="54"/>
    </row>
    <row r="24">
      <c r="A24" s="39">
        <v>36.0</v>
      </c>
      <c r="B24" s="52" t="s">
        <v>87</v>
      </c>
      <c r="C24" s="48" t="s">
        <v>71</v>
      </c>
      <c r="D24" s="55" t="s">
        <v>108</v>
      </c>
      <c r="E24" s="149" t="s">
        <v>296</v>
      </c>
      <c r="F24" s="50"/>
      <c r="H24" s="48"/>
      <c r="I24" s="48"/>
      <c r="J24" s="40" t="s">
        <v>260</v>
      </c>
      <c r="K24" s="48" t="s">
        <v>269</v>
      </c>
      <c r="L24" s="50"/>
      <c r="M24" s="50"/>
      <c r="N24" s="50"/>
      <c r="O24" s="53"/>
    </row>
    <row r="25">
      <c r="A25" s="39">
        <v>37.0</v>
      </c>
      <c r="B25" s="52" t="s">
        <v>87</v>
      </c>
      <c r="C25" s="55" t="s">
        <v>109</v>
      </c>
      <c r="D25" s="55" t="s">
        <v>110</v>
      </c>
      <c r="E25" s="3"/>
      <c r="F25" s="48">
        <v>2.0</v>
      </c>
      <c r="H25" s="48"/>
      <c r="I25" s="48"/>
      <c r="J25" s="40" t="s">
        <v>260</v>
      </c>
      <c r="K25" s="48" t="s">
        <v>261</v>
      </c>
      <c r="L25" s="50"/>
      <c r="M25" s="50"/>
      <c r="N25" s="50"/>
      <c r="O25" s="53"/>
    </row>
    <row r="26">
      <c r="A26" s="39">
        <v>38.0</v>
      </c>
      <c r="B26" s="52" t="s">
        <v>87</v>
      </c>
      <c r="C26" s="55" t="s">
        <v>109</v>
      </c>
      <c r="D26" s="48" t="s">
        <v>111</v>
      </c>
      <c r="E26" s="147" t="s">
        <v>297</v>
      </c>
      <c r="F26" s="50"/>
      <c r="H26" s="48"/>
      <c r="I26" s="48"/>
      <c r="J26" s="40" t="s">
        <v>260</v>
      </c>
      <c r="K26" s="48" t="s">
        <v>269</v>
      </c>
      <c r="L26" s="50"/>
      <c r="M26" s="50"/>
      <c r="N26" s="50"/>
      <c r="O26" s="53"/>
    </row>
    <row r="27">
      <c r="A27" s="39">
        <v>39.0</v>
      </c>
      <c r="B27" s="52" t="s">
        <v>87</v>
      </c>
      <c r="C27" s="55" t="s">
        <v>109</v>
      </c>
      <c r="D27" s="48" t="s">
        <v>112</v>
      </c>
      <c r="E27" s="118" t="s">
        <v>298</v>
      </c>
      <c r="F27" s="48">
        <v>16.0</v>
      </c>
      <c r="H27" s="48"/>
      <c r="I27" s="48"/>
      <c r="J27" s="40" t="s">
        <v>260</v>
      </c>
      <c r="K27" s="48" t="s">
        <v>261</v>
      </c>
      <c r="L27" s="50"/>
      <c r="M27" s="50"/>
      <c r="N27" s="50"/>
      <c r="O27" s="53"/>
    </row>
    <row r="28">
      <c r="A28" s="39">
        <v>40.0</v>
      </c>
      <c r="B28" s="52" t="s">
        <v>87</v>
      </c>
      <c r="C28" s="55" t="s">
        <v>109</v>
      </c>
      <c r="D28" s="48" t="s">
        <v>113</v>
      </c>
      <c r="E28" s="118"/>
      <c r="F28" s="48">
        <v>8.0</v>
      </c>
      <c r="H28" s="48"/>
      <c r="I28" s="48"/>
      <c r="J28" s="40" t="s">
        <v>260</v>
      </c>
      <c r="K28" s="48" t="s">
        <v>261</v>
      </c>
      <c r="L28" s="50"/>
      <c r="M28" s="50"/>
      <c r="N28" s="50"/>
      <c r="O28" s="53"/>
    </row>
    <row r="29">
      <c r="A29" s="39">
        <v>41.0</v>
      </c>
      <c r="B29" s="60" t="s">
        <v>114</v>
      </c>
      <c r="C29" s="61" t="s">
        <v>88</v>
      </c>
      <c r="D29" s="150" t="s">
        <v>115</v>
      </c>
      <c r="E29" s="3"/>
      <c r="F29" s="151">
        <v>4.0</v>
      </c>
      <c r="H29" s="62"/>
      <c r="I29" s="62"/>
      <c r="J29" s="40" t="s">
        <v>260</v>
      </c>
      <c r="K29" s="48" t="s">
        <v>269</v>
      </c>
      <c r="L29" s="64"/>
      <c r="M29" s="64"/>
      <c r="N29" s="64"/>
      <c r="O29" s="65"/>
    </row>
    <row r="30">
      <c r="A30" s="39">
        <v>42.0</v>
      </c>
      <c r="B30" s="60" t="s">
        <v>114</v>
      </c>
      <c r="C30" s="61" t="s">
        <v>88</v>
      </c>
      <c r="D30" s="150" t="s">
        <v>116</v>
      </c>
      <c r="E30" s="118" t="s">
        <v>299</v>
      </c>
      <c r="H30" s="62"/>
      <c r="I30" s="62"/>
      <c r="J30" s="40" t="s">
        <v>260</v>
      </c>
      <c r="K30" s="48" t="s">
        <v>269</v>
      </c>
      <c r="L30" s="64"/>
      <c r="M30" s="64"/>
      <c r="N30" s="64"/>
      <c r="O30" s="65"/>
    </row>
    <row r="31">
      <c r="A31" s="39">
        <v>43.0</v>
      </c>
      <c r="B31" s="60" t="s">
        <v>114</v>
      </c>
      <c r="C31" s="61" t="s">
        <v>88</v>
      </c>
      <c r="D31" s="150" t="s">
        <v>117</v>
      </c>
      <c r="E31" s="3"/>
      <c r="H31" s="62"/>
      <c r="I31" s="62"/>
      <c r="J31" s="40" t="s">
        <v>260</v>
      </c>
      <c r="K31" s="48" t="s">
        <v>269</v>
      </c>
      <c r="L31" s="64"/>
      <c r="M31" s="64"/>
      <c r="N31" s="64"/>
      <c r="O31" s="65"/>
    </row>
    <row r="32">
      <c r="A32" s="39">
        <v>44.0</v>
      </c>
      <c r="B32" s="60" t="s">
        <v>118</v>
      </c>
      <c r="C32" s="61" t="s">
        <v>88</v>
      </c>
      <c r="D32" s="150" t="s">
        <v>119</v>
      </c>
      <c r="E32" s="3"/>
      <c r="H32" s="61"/>
      <c r="I32" s="61"/>
      <c r="J32" s="40" t="s">
        <v>260</v>
      </c>
      <c r="K32" s="48" t="s">
        <v>269</v>
      </c>
      <c r="L32" s="67"/>
      <c r="M32" s="67"/>
      <c r="N32" s="67"/>
      <c r="O32" s="68"/>
    </row>
    <row r="33">
      <c r="A33" s="39">
        <v>47.0</v>
      </c>
      <c r="B33" s="70" t="s">
        <v>118</v>
      </c>
      <c r="C33" s="62" t="s">
        <v>20</v>
      </c>
      <c r="D33" s="62" t="s">
        <v>302</v>
      </c>
      <c r="E33" s="149"/>
      <c r="F33" s="67"/>
      <c r="H33" s="62"/>
      <c r="I33" s="61"/>
      <c r="J33" s="40" t="s">
        <v>260</v>
      </c>
      <c r="K33" s="48" t="s">
        <v>303</v>
      </c>
      <c r="L33" s="67"/>
      <c r="M33" s="67"/>
      <c r="N33" s="67"/>
      <c r="O33" s="68"/>
    </row>
    <row r="34">
      <c r="A34" s="39">
        <v>49.0</v>
      </c>
      <c r="B34" s="70" t="s">
        <v>118</v>
      </c>
      <c r="C34" s="62" t="s">
        <v>20</v>
      </c>
      <c r="D34" s="62" t="s">
        <v>305</v>
      </c>
      <c r="F34" s="67"/>
      <c r="H34" s="62"/>
      <c r="I34" s="61"/>
      <c r="J34" s="40" t="s">
        <v>260</v>
      </c>
      <c r="K34" s="48" t="s">
        <v>263</v>
      </c>
      <c r="L34" s="67"/>
      <c r="M34" s="67"/>
      <c r="N34" s="67"/>
      <c r="O34" s="68"/>
    </row>
    <row r="35">
      <c r="A35" s="39">
        <v>54.0</v>
      </c>
      <c r="B35" s="70" t="s">
        <v>118</v>
      </c>
      <c r="C35" s="62" t="s">
        <v>20</v>
      </c>
      <c r="D35" s="62" t="s">
        <v>129</v>
      </c>
      <c r="E35" s="3"/>
      <c r="F35" s="61">
        <v>4.0</v>
      </c>
      <c r="H35" s="62"/>
      <c r="I35" s="61"/>
      <c r="J35" s="40" t="s">
        <v>260</v>
      </c>
      <c r="K35" s="48" t="s">
        <v>277</v>
      </c>
      <c r="L35" s="67"/>
      <c r="M35" s="67"/>
      <c r="N35" s="67"/>
      <c r="O35" s="68"/>
    </row>
    <row r="36">
      <c r="A36" s="39">
        <v>55.0</v>
      </c>
      <c r="B36" s="70" t="s">
        <v>118</v>
      </c>
      <c r="C36" s="62" t="s">
        <v>20</v>
      </c>
      <c r="D36" s="62" t="s">
        <v>307</v>
      </c>
      <c r="E36" s="118" t="s">
        <v>308</v>
      </c>
      <c r="F36" s="61">
        <v>16.0</v>
      </c>
      <c r="H36" s="62"/>
      <c r="I36" s="61"/>
      <c r="J36" s="40" t="s">
        <v>260</v>
      </c>
      <c r="K36" s="48" t="s">
        <v>269</v>
      </c>
      <c r="L36" s="67"/>
      <c r="M36" s="67"/>
      <c r="N36" s="67"/>
      <c r="O36" s="68"/>
    </row>
    <row r="37">
      <c r="A37" s="39">
        <v>56.0</v>
      </c>
      <c r="B37" s="70" t="s">
        <v>118</v>
      </c>
      <c r="C37" s="62" t="s">
        <v>20</v>
      </c>
      <c r="D37" s="62" t="s">
        <v>311</v>
      </c>
      <c r="E37" s="118" t="s">
        <v>312</v>
      </c>
      <c r="F37" s="61">
        <v>32.0</v>
      </c>
      <c r="H37" s="62" t="s">
        <v>132</v>
      </c>
      <c r="I37" s="61" t="s">
        <v>313</v>
      </c>
      <c r="J37" s="40" t="s">
        <v>260</v>
      </c>
      <c r="K37" s="48" t="s">
        <v>277</v>
      </c>
      <c r="L37" s="67"/>
      <c r="M37" s="67"/>
      <c r="N37" s="67"/>
      <c r="O37" s="68"/>
    </row>
    <row r="38">
      <c r="A38" s="39"/>
      <c r="B38" s="70" t="s">
        <v>118</v>
      </c>
      <c r="C38" s="62" t="s">
        <v>20</v>
      </c>
      <c r="D38" s="62" t="s">
        <v>314</v>
      </c>
      <c r="E38" s="118"/>
      <c r="F38" s="67"/>
      <c r="H38" s="62"/>
      <c r="I38" s="61"/>
      <c r="J38" s="40" t="s">
        <v>260</v>
      </c>
      <c r="K38" s="48"/>
      <c r="L38" s="67"/>
      <c r="M38" s="67"/>
      <c r="N38" s="67"/>
      <c r="O38" s="68"/>
    </row>
    <row r="39">
      <c r="A39" s="39"/>
      <c r="B39" s="70" t="s">
        <v>118</v>
      </c>
      <c r="C39" s="62" t="s">
        <v>71</v>
      </c>
      <c r="D39" s="62" t="s">
        <v>315</v>
      </c>
      <c r="E39" s="118"/>
      <c r="F39" s="67"/>
      <c r="H39" s="62"/>
      <c r="I39" s="61"/>
      <c r="J39" s="40" t="s">
        <v>260</v>
      </c>
      <c r="K39" s="48"/>
      <c r="L39" s="67"/>
      <c r="M39" s="67"/>
      <c r="N39" s="67"/>
      <c r="O39" s="68"/>
    </row>
    <row r="40">
      <c r="A40" s="39">
        <v>59.0</v>
      </c>
      <c r="B40" s="70" t="s">
        <v>118</v>
      </c>
      <c r="C40" s="62" t="s">
        <v>20</v>
      </c>
      <c r="D40" s="62" t="s">
        <v>135</v>
      </c>
      <c r="E40" s="118"/>
      <c r="F40" s="61">
        <v>8.0</v>
      </c>
      <c r="H40" s="62"/>
      <c r="I40" s="61"/>
      <c r="J40" s="40" t="s">
        <v>260</v>
      </c>
      <c r="K40" s="48" t="s">
        <v>269</v>
      </c>
      <c r="L40" s="67"/>
      <c r="M40" s="67"/>
      <c r="N40" s="67"/>
      <c r="O40" s="68"/>
    </row>
    <row r="41">
      <c r="A41" s="39">
        <v>61.0</v>
      </c>
      <c r="B41" s="70" t="s">
        <v>118</v>
      </c>
      <c r="C41" s="62" t="s">
        <v>20</v>
      </c>
      <c r="D41" s="62" t="s">
        <v>137</v>
      </c>
      <c r="E41" s="118"/>
      <c r="F41" s="61">
        <v>4.0</v>
      </c>
      <c r="H41" s="62"/>
      <c r="I41" s="61"/>
      <c r="J41" s="40" t="s">
        <v>260</v>
      </c>
      <c r="K41" s="48" t="s">
        <v>269</v>
      </c>
      <c r="L41" s="67"/>
      <c r="M41" s="67"/>
      <c r="N41" s="67"/>
      <c r="O41" s="68"/>
    </row>
    <row r="42">
      <c r="A42" s="39">
        <v>63.0</v>
      </c>
      <c r="B42" s="70" t="s">
        <v>118</v>
      </c>
      <c r="C42" s="62" t="s">
        <v>71</v>
      </c>
      <c r="D42" s="62" t="s">
        <v>139</v>
      </c>
      <c r="E42" s="3"/>
      <c r="F42" s="64"/>
      <c r="H42" s="62"/>
      <c r="I42" s="62"/>
      <c r="J42" s="40" t="s">
        <v>260</v>
      </c>
      <c r="K42" s="48" t="s">
        <v>261</v>
      </c>
      <c r="L42" s="64"/>
      <c r="M42" s="64"/>
      <c r="N42" s="64"/>
      <c r="O42" s="65"/>
    </row>
    <row r="43">
      <c r="A43" s="39">
        <v>65.0</v>
      </c>
      <c r="B43" s="70" t="s">
        <v>118</v>
      </c>
      <c r="C43" s="62" t="s">
        <v>140</v>
      </c>
      <c r="D43" s="62" t="s">
        <v>142</v>
      </c>
      <c r="E43" s="3"/>
      <c r="F43" s="117">
        <v>16.0</v>
      </c>
      <c r="H43" s="62"/>
      <c r="I43" s="62"/>
      <c r="J43" s="40" t="s">
        <v>260</v>
      </c>
      <c r="K43" s="48" t="s">
        <v>277</v>
      </c>
      <c r="L43" s="64"/>
      <c r="M43" s="64"/>
      <c r="N43" s="64"/>
      <c r="O43" s="65"/>
    </row>
    <row r="44">
      <c r="A44" s="39">
        <v>67.0</v>
      </c>
      <c r="B44" s="70" t="s">
        <v>118</v>
      </c>
      <c r="C44" s="62" t="s">
        <v>140</v>
      </c>
      <c r="D44" s="62" t="s">
        <v>144</v>
      </c>
      <c r="E44" s="3"/>
      <c r="F44" s="62">
        <v>16.0</v>
      </c>
      <c r="H44" s="62"/>
      <c r="I44" s="62"/>
      <c r="J44" s="40" t="s">
        <v>260</v>
      </c>
      <c r="K44" s="48" t="s">
        <v>261</v>
      </c>
      <c r="L44" s="64"/>
      <c r="M44" s="64"/>
      <c r="N44" s="64"/>
      <c r="O44" s="65"/>
    </row>
    <row r="45">
      <c r="A45" s="39"/>
      <c r="B45" s="70"/>
      <c r="C45" s="62"/>
      <c r="D45" s="62"/>
      <c r="E45" s="3"/>
      <c r="F45" s="62"/>
      <c r="H45" s="62"/>
      <c r="I45" s="62"/>
      <c r="J45" s="40"/>
      <c r="K45" s="48"/>
      <c r="L45" s="64"/>
      <c r="M45" s="64"/>
      <c r="N45" s="64"/>
      <c r="O45" s="65"/>
    </row>
    <row r="46">
      <c r="A46" s="39">
        <v>69.0</v>
      </c>
      <c r="B46" s="70" t="s">
        <v>118</v>
      </c>
      <c r="C46" s="62" t="s">
        <v>20</v>
      </c>
      <c r="D46" s="62" t="s">
        <v>146</v>
      </c>
      <c r="E46" s="3"/>
      <c r="F46" s="62">
        <v>8.0</v>
      </c>
      <c r="H46" s="62"/>
      <c r="I46" s="62"/>
      <c r="J46" s="40" t="s">
        <v>260</v>
      </c>
      <c r="K46" s="48" t="s">
        <v>303</v>
      </c>
      <c r="L46" s="64"/>
      <c r="M46" s="64"/>
      <c r="N46" s="64"/>
      <c r="O46" s="65"/>
    </row>
    <row r="47">
      <c r="A47" s="39">
        <v>71.0</v>
      </c>
      <c r="B47" s="70" t="s">
        <v>118</v>
      </c>
      <c r="C47" s="62" t="s">
        <v>20</v>
      </c>
      <c r="D47" s="62" t="s">
        <v>148</v>
      </c>
      <c r="E47" s="3"/>
      <c r="F47" s="62">
        <v>16.0</v>
      </c>
      <c r="H47" s="62"/>
      <c r="I47" s="62"/>
      <c r="J47" s="40" t="s">
        <v>260</v>
      </c>
      <c r="K47" s="48" t="s">
        <v>263</v>
      </c>
      <c r="L47" s="64"/>
      <c r="M47" s="64"/>
      <c r="N47" s="64"/>
      <c r="O47" s="65"/>
    </row>
    <row r="48">
      <c r="A48" s="39">
        <v>75.0</v>
      </c>
      <c r="B48" s="70" t="s">
        <v>118</v>
      </c>
      <c r="C48" s="62" t="s">
        <v>71</v>
      </c>
      <c r="D48" s="62" t="s">
        <v>152</v>
      </c>
      <c r="E48" s="3"/>
      <c r="F48" s="62">
        <v>8.0</v>
      </c>
      <c r="H48" s="62"/>
      <c r="I48" s="62"/>
      <c r="J48" s="40" t="s">
        <v>260</v>
      </c>
      <c r="K48" s="48" t="s">
        <v>269</v>
      </c>
      <c r="L48" s="64"/>
      <c r="M48" s="64"/>
      <c r="N48" s="64"/>
      <c r="O48" s="65"/>
    </row>
    <row r="49">
      <c r="A49" s="39">
        <v>76.0</v>
      </c>
      <c r="B49" s="70" t="s">
        <v>118</v>
      </c>
      <c r="C49" s="62" t="s">
        <v>71</v>
      </c>
      <c r="D49" s="71" t="s">
        <v>153</v>
      </c>
      <c r="E49" s="3"/>
      <c r="F49" s="64"/>
      <c r="H49" s="62"/>
      <c r="I49" s="62"/>
      <c r="J49" s="40" t="s">
        <v>260</v>
      </c>
      <c r="K49" s="48" t="s">
        <v>269</v>
      </c>
      <c r="L49" s="64"/>
      <c r="M49" s="64"/>
      <c r="N49" s="64"/>
      <c r="O49" s="65"/>
    </row>
    <row r="50">
      <c r="A50" s="39">
        <v>77.0</v>
      </c>
      <c r="B50" s="70" t="s">
        <v>118</v>
      </c>
      <c r="C50" s="62" t="s">
        <v>20</v>
      </c>
      <c r="D50" s="62" t="s">
        <v>154</v>
      </c>
      <c r="E50" s="3"/>
      <c r="F50" s="62">
        <v>8.0</v>
      </c>
      <c r="H50" s="62"/>
      <c r="I50" s="62"/>
      <c r="J50" s="40" t="s">
        <v>260</v>
      </c>
      <c r="K50" s="48" t="s">
        <v>269</v>
      </c>
      <c r="L50" s="64"/>
      <c r="M50" s="64"/>
      <c r="N50" s="64"/>
      <c r="O50" s="65"/>
    </row>
    <row r="51">
      <c r="A51" s="39">
        <v>78.0</v>
      </c>
      <c r="B51" s="70" t="s">
        <v>118</v>
      </c>
      <c r="C51" s="62" t="s">
        <v>71</v>
      </c>
      <c r="D51" s="62" t="s">
        <v>155</v>
      </c>
      <c r="E51" s="3"/>
      <c r="H51" s="62"/>
      <c r="I51" s="62"/>
      <c r="J51" s="40" t="s">
        <v>260</v>
      </c>
      <c r="K51" s="48" t="s">
        <v>269</v>
      </c>
      <c r="L51" s="64"/>
      <c r="M51" s="64"/>
      <c r="N51" s="64"/>
      <c r="O51" s="65"/>
    </row>
    <row r="52">
      <c r="A52" s="39">
        <v>79.0</v>
      </c>
      <c r="B52" s="70" t="s">
        <v>118</v>
      </c>
      <c r="C52" s="62" t="s">
        <v>71</v>
      </c>
      <c r="D52" s="62" t="s">
        <v>156</v>
      </c>
      <c r="E52" s="3"/>
      <c r="F52" s="62">
        <v>4.0</v>
      </c>
      <c r="H52" s="62"/>
      <c r="I52" s="62"/>
      <c r="J52" s="40" t="s">
        <v>260</v>
      </c>
      <c r="K52" s="48" t="s">
        <v>269</v>
      </c>
      <c r="L52" s="64"/>
      <c r="M52" s="64"/>
      <c r="N52" s="64"/>
      <c r="O52" s="65"/>
    </row>
    <row r="53">
      <c r="A53" s="39">
        <v>80.0</v>
      </c>
      <c r="B53" s="70" t="s">
        <v>118</v>
      </c>
      <c r="C53" s="62" t="s">
        <v>71</v>
      </c>
      <c r="D53" s="62" t="s">
        <v>320</v>
      </c>
      <c r="E53" s="118"/>
      <c r="F53" s="62">
        <v>12.0</v>
      </c>
      <c r="H53" s="62"/>
      <c r="I53" s="62"/>
      <c r="J53" s="40" t="s">
        <v>260</v>
      </c>
      <c r="K53" s="48" t="s">
        <v>269</v>
      </c>
      <c r="L53" s="64"/>
      <c r="M53" s="64"/>
      <c r="N53" s="64"/>
      <c r="O53" s="65"/>
    </row>
    <row r="54">
      <c r="A54" s="39">
        <v>83.0</v>
      </c>
      <c r="B54" s="61" t="s">
        <v>160</v>
      </c>
      <c r="C54" s="61" t="s">
        <v>88</v>
      </c>
      <c r="D54" s="61" t="s">
        <v>161</v>
      </c>
      <c r="E54" s="3"/>
      <c r="F54" s="64"/>
      <c r="H54" s="72"/>
      <c r="I54" s="62"/>
      <c r="J54" s="40" t="s">
        <v>260</v>
      </c>
      <c r="K54" s="48" t="s">
        <v>269</v>
      </c>
      <c r="L54" s="64"/>
      <c r="M54" s="64"/>
      <c r="N54" s="64"/>
      <c r="O54" s="65"/>
    </row>
    <row r="55">
      <c r="A55" s="39">
        <v>84.0</v>
      </c>
      <c r="B55" s="73" t="s">
        <v>160</v>
      </c>
      <c r="C55" s="72" t="s">
        <v>20</v>
      </c>
      <c r="D55" s="72" t="s">
        <v>162</v>
      </c>
      <c r="E55" s="3"/>
      <c r="F55" s="64"/>
      <c r="H55" s="72"/>
      <c r="I55" s="62"/>
      <c r="J55" s="40" t="s">
        <v>260</v>
      </c>
      <c r="K55" s="48" t="s">
        <v>277</v>
      </c>
      <c r="L55" s="64"/>
      <c r="M55" s="64"/>
      <c r="N55" s="64"/>
      <c r="O55" s="65"/>
    </row>
    <row r="56">
      <c r="A56" s="39">
        <v>85.0</v>
      </c>
      <c r="B56" s="73" t="s">
        <v>160</v>
      </c>
      <c r="C56" s="72" t="s">
        <v>140</v>
      </c>
      <c r="D56" s="72" t="s">
        <v>163</v>
      </c>
      <c r="E56" s="3"/>
      <c r="F56" s="64"/>
      <c r="H56" s="72"/>
      <c r="I56" s="62"/>
      <c r="J56" s="40" t="s">
        <v>260</v>
      </c>
      <c r="K56" s="48" t="s">
        <v>277</v>
      </c>
      <c r="L56" s="64"/>
      <c r="M56" s="64"/>
      <c r="N56" s="64"/>
      <c r="O56" s="65"/>
    </row>
    <row r="57">
      <c r="A57" s="39">
        <v>87.0</v>
      </c>
      <c r="B57" s="73" t="s">
        <v>160</v>
      </c>
      <c r="C57" s="72" t="s">
        <v>140</v>
      </c>
      <c r="D57" s="72" t="s">
        <v>164</v>
      </c>
      <c r="E57" s="3"/>
      <c r="F57" s="64"/>
      <c r="H57" s="72"/>
      <c r="I57" s="62"/>
      <c r="J57" s="40" t="s">
        <v>260</v>
      </c>
      <c r="K57" s="48" t="s">
        <v>277</v>
      </c>
      <c r="L57" s="64"/>
      <c r="M57" s="64"/>
      <c r="N57" s="64"/>
      <c r="O57" s="65"/>
    </row>
    <row r="58">
      <c r="A58" s="39"/>
      <c r="B58" s="73"/>
      <c r="C58" s="72"/>
      <c r="D58" s="72" t="s">
        <v>326</v>
      </c>
      <c r="E58" s="3"/>
      <c r="F58" s="62"/>
      <c r="H58" s="72"/>
      <c r="I58" s="62"/>
      <c r="J58" s="40" t="s">
        <v>260</v>
      </c>
      <c r="K58" s="48"/>
      <c r="L58" s="64"/>
      <c r="M58" s="64"/>
      <c r="N58" s="64"/>
      <c r="O58" s="65"/>
    </row>
    <row r="59">
      <c r="A59" s="39"/>
      <c r="B59" s="73"/>
      <c r="C59" s="72"/>
      <c r="D59" s="72" t="s">
        <v>327</v>
      </c>
      <c r="E59" s="3"/>
      <c r="F59" s="62"/>
      <c r="H59" s="72"/>
      <c r="I59" s="62"/>
      <c r="J59" s="40" t="s">
        <v>260</v>
      </c>
      <c r="K59" s="48"/>
      <c r="L59" s="64"/>
      <c r="M59" s="64"/>
      <c r="N59" s="64"/>
      <c r="O59" s="65"/>
    </row>
    <row r="60">
      <c r="A60" s="39">
        <v>106.0</v>
      </c>
      <c r="B60" s="73" t="s">
        <v>181</v>
      </c>
      <c r="C60" s="72" t="s">
        <v>71</v>
      </c>
      <c r="D60" s="72" t="s">
        <v>328</v>
      </c>
      <c r="E60" s="3"/>
      <c r="F60" s="62">
        <v>4.0</v>
      </c>
      <c r="H60" s="72"/>
      <c r="I60" s="62"/>
      <c r="J60" s="40" t="s">
        <v>260</v>
      </c>
      <c r="K60" s="48" t="s">
        <v>277</v>
      </c>
      <c r="L60" s="64"/>
      <c r="M60" s="64"/>
      <c r="N60" s="64"/>
      <c r="O60" s="77"/>
    </row>
    <row r="61">
      <c r="A61" s="39">
        <v>109.0</v>
      </c>
      <c r="B61" s="75" t="s">
        <v>187</v>
      </c>
      <c r="C61" s="74" t="s">
        <v>88</v>
      </c>
      <c r="D61" s="74" t="s">
        <v>188</v>
      </c>
      <c r="E61" s="118" t="s">
        <v>329</v>
      </c>
      <c r="F61" s="67"/>
      <c r="H61" s="74"/>
      <c r="I61" s="61"/>
      <c r="J61" s="40" t="s">
        <v>260</v>
      </c>
      <c r="K61" s="48" t="s">
        <v>269</v>
      </c>
      <c r="L61" s="67"/>
      <c r="M61" s="67"/>
      <c r="N61" s="67"/>
      <c r="O61" s="78"/>
    </row>
    <row r="62">
      <c r="A62" s="39">
        <v>110.0</v>
      </c>
      <c r="B62" s="73" t="s">
        <v>187</v>
      </c>
      <c r="C62" s="72" t="s">
        <v>20</v>
      </c>
      <c r="D62" s="72" t="s">
        <v>189</v>
      </c>
      <c r="E62" s="3"/>
      <c r="F62" s="62">
        <v>16.0</v>
      </c>
      <c r="H62" s="72"/>
      <c r="I62" s="62"/>
      <c r="J62" s="40" t="s">
        <v>260</v>
      </c>
      <c r="K62" s="48" t="s">
        <v>277</v>
      </c>
      <c r="L62" s="64"/>
      <c r="M62" s="64"/>
      <c r="N62" s="64"/>
      <c r="O62" s="77"/>
    </row>
    <row r="63">
      <c r="A63" s="39">
        <v>111.0</v>
      </c>
      <c r="B63" s="73" t="s">
        <v>187</v>
      </c>
      <c r="C63" s="72" t="s">
        <v>71</v>
      </c>
      <c r="D63" s="72" t="s">
        <v>190</v>
      </c>
      <c r="E63" s="3"/>
      <c r="F63" s="62">
        <v>24.0</v>
      </c>
      <c r="H63" s="72" t="s">
        <v>191</v>
      </c>
      <c r="I63" s="62"/>
      <c r="J63" s="40" t="s">
        <v>260</v>
      </c>
      <c r="K63" s="48" t="s">
        <v>269</v>
      </c>
      <c r="L63" s="64"/>
      <c r="M63" s="64"/>
      <c r="N63" s="64"/>
      <c r="O63" s="77"/>
    </row>
    <row r="64">
      <c r="A64" s="39">
        <v>113.0</v>
      </c>
      <c r="B64" s="70" t="s">
        <v>193</v>
      </c>
      <c r="C64" s="61" t="s">
        <v>88</v>
      </c>
      <c r="D64" s="61" t="s">
        <v>194</v>
      </c>
      <c r="E64" s="3"/>
      <c r="F64" s="62"/>
      <c r="H64" s="62"/>
      <c r="I64" s="62"/>
      <c r="J64" s="40" t="s">
        <v>260</v>
      </c>
      <c r="K64" s="48" t="s">
        <v>269</v>
      </c>
      <c r="L64" s="64"/>
      <c r="M64" s="64"/>
      <c r="N64" s="64"/>
      <c r="O64" s="77"/>
    </row>
    <row r="65">
      <c r="A65" s="39">
        <v>114.0</v>
      </c>
      <c r="B65" s="60" t="s">
        <v>195</v>
      </c>
      <c r="C65" s="61" t="s">
        <v>88</v>
      </c>
      <c r="D65" s="74" t="s">
        <v>196</v>
      </c>
      <c r="E65" s="118" t="s">
        <v>331</v>
      </c>
      <c r="F65" s="67"/>
      <c r="H65" s="61"/>
      <c r="I65" s="61"/>
      <c r="J65" s="40" t="s">
        <v>260</v>
      </c>
      <c r="K65" s="48" t="s">
        <v>269</v>
      </c>
      <c r="L65" s="67"/>
      <c r="M65" s="67"/>
      <c r="N65" s="67"/>
      <c r="O65" s="78"/>
    </row>
    <row r="66">
      <c r="A66" s="39">
        <v>115.0</v>
      </c>
      <c r="B66" s="79" t="s">
        <v>195</v>
      </c>
      <c r="C66" s="72" t="s">
        <v>20</v>
      </c>
      <c r="D66" s="153" t="s">
        <v>197</v>
      </c>
      <c r="E66" s="149" t="s">
        <v>332</v>
      </c>
      <c r="F66" s="81"/>
      <c r="H66" s="72"/>
      <c r="I66" s="72"/>
      <c r="J66" s="40" t="s">
        <v>260</v>
      </c>
      <c r="K66" s="48" t="s">
        <v>277</v>
      </c>
      <c r="L66" s="81"/>
      <c r="M66" s="81"/>
      <c r="N66" s="81"/>
      <c r="O66" s="82"/>
    </row>
    <row r="67">
      <c r="A67" s="39">
        <v>116.0</v>
      </c>
      <c r="B67" s="79" t="s">
        <v>195</v>
      </c>
      <c r="C67" s="72" t="s">
        <v>71</v>
      </c>
      <c r="D67" s="72" t="s">
        <v>198</v>
      </c>
      <c r="E67" s="3"/>
      <c r="F67" s="72">
        <v>2.0</v>
      </c>
      <c r="H67" s="72"/>
      <c r="I67" s="72"/>
      <c r="J67" s="40" t="s">
        <v>260</v>
      </c>
      <c r="K67" s="48" t="s">
        <v>269</v>
      </c>
      <c r="L67" s="81"/>
      <c r="M67" s="81"/>
      <c r="N67" s="81"/>
      <c r="O67" s="82"/>
    </row>
    <row r="68">
      <c r="A68" s="39">
        <v>117.0</v>
      </c>
      <c r="B68" s="79" t="s">
        <v>195</v>
      </c>
      <c r="C68" s="72" t="s">
        <v>20</v>
      </c>
      <c r="D68" s="72" t="s">
        <v>199</v>
      </c>
      <c r="E68" s="3"/>
      <c r="F68" s="72">
        <v>2.0</v>
      </c>
      <c r="H68" s="72"/>
      <c r="I68" s="72"/>
      <c r="J68" s="40" t="s">
        <v>260</v>
      </c>
      <c r="K68" s="48" t="s">
        <v>269</v>
      </c>
      <c r="L68" s="81"/>
      <c r="M68" s="81"/>
      <c r="N68" s="81"/>
      <c r="O68" s="82"/>
    </row>
    <row r="69">
      <c r="A69" s="39">
        <v>118.0</v>
      </c>
      <c r="B69" s="79" t="s">
        <v>195</v>
      </c>
      <c r="C69" s="72" t="s">
        <v>71</v>
      </c>
      <c r="D69" s="72" t="s">
        <v>200</v>
      </c>
      <c r="E69" s="118" t="s">
        <v>333</v>
      </c>
      <c r="F69" s="72">
        <v>2.0</v>
      </c>
      <c r="H69" s="72"/>
      <c r="I69" s="72"/>
      <c r="J69" s="40" t="s">
        <v>260</v>
      </c>
      <c r="K69" s="48" t="s">
        <v>269</v>
      </c>
      <c r="L69" s="81"/>
      <c r="M69" s="81"/>
      <c r="N69" s="81"/>
      <c r="O69" s="82"/>
    </row>
    <row r="70">
      <c r="A70" s="39">
        <v>120.0</v>
      </c>
      <c r="B70" s="79" t="s">
        <v>195</v>
      </c>
      <c r="C70" s="72" t="s">
        <v>71</v>
      </c>
      <c r="D70" s="154" t="s">
        <v>202</v>
      </c>
      <c r="E70" s="147" t="s">
        <v>335</v>
      </c>
      <c r="F70" s="81"/>
      <c r="H70" s="72"/>
      <c r="I70" s="72"/>
      <c r="J70" s="40" t="s">
        <v>260</v>
      </c>
      <c r="K70" s="48" t="s">
        <v>269</v>
      </c>
      <c r="L70" s="81"/>
      <c r="M70" s="81"/>
      <c r="N70" s="81"/>
      <c r="O70" s="82"/>
    </row>
    <row r="71">
      <c r="A71" s="39"/>
      <c r="B71" s="79"/>
      <c r="C71" s="72"/>
      <c r="D71" s="72"/>
      <c r="E71" s="3"/>
      <c r="F71" s="81"/>
      <c r="H71" s="72"/>
      <c r="I71" s="72"/>
      <c r="J71" s="40"/>
      <c r="K71" s="48"/>
      <c r="L71" s="81"/>
      <c r="M71" s="81"/>
      <c r="N71" s="81"/>
      <c r="O71" s="82"/>
    </row>
    <row r="72">
      <c r="A72" s="39">
        <v>122.0</v>
      </c>
      <c r="B72" s="79" t="s">
        <v>195</v>
      </c>
      <c r="C72" s="72" t="s">
        <v>71</v>
      </c>
      <c r="D72" s="72" t="s">
        <v>204</v>
      </c>
      <c r="E72" s="3"/>
      <c r="F72" s="81"/>
      <c r="H72" s="72"/>
      <c r="I72" s="72"/>
      <c r="J72" s="40" t="s">
        <v>260</v>
      </c>
      <c r="K72" s="48" t="s">
        <v>269</v>
      </c>
      <c r="L72" s="81"/>
      <c r="M72" s="81"/>
      <c r="N72" s="81"/>
      <c r="O72" s="82"/>
    </row>
    <row r="73">
      <c r="A73" s="39">
        <v>124.0</v>
      </c>
      <c r="B73" s="79" t="s">
        <v>195</v>
      </c>
      <c r="C73" s="72" t="s">
        <v>71</v>
      </c>
      <c r="D73" s="72" t="s">
        <v>207</v>
      </c>
      <c r="E73" s="147" t="s">
        <v>335</v>
      </c>
      <c r="F73" s="81"/>
      <c r="H73" s="72"/>
      <c r="I73" s="72"/>
      <c r="J73" s="40" t="s">
        <v>260</v>
      </c>
      <c r="K73" s="48" t="s">
        <v>269</v>
      </c>
      <c r="L73" s="81"/>
      <c r="M73" s="81"/>
      <c r="N73" s="81"/>
      <c r="O73" s="82"/>
    </row>
    <row r="74">
      <c r="A74" s="39">
        <v>125.0</v>
      </c>
      <c r="B74" s="79" t="s">
        <v>195</v>
      </c>
      <c r="C74" s="72" t="s">
        <v>20</v>
      </c>
      <c r="D74" s="72" t="s">
        <v>208</v>
      </c>
      <c r="E74" s="147" t="s">
        <v>335</v>
      </c>
      <c r="F74" s="81"/>
      <c r="H74" s="72"/>
      <c r="I74" s="72"/>
      <c r="J74" s="40" t="s">
        <v>260</v>
      </c>
      <c r="K74" s="48" t="s">
        <v>263</v>
      </c>
      <c r="L74" s="81"/>
      <c r="M74" s="81"/>
      <c r="N74" s="81"/>
      <c r="O74" s="82"/>
    </row>
    <row r="75">
      <c r="A75" s="39"/>
      <c r="B75" s="79"/>
      <c r="C75" s="72" t="s">
        <v>71</v>
      </c>
      <c r="D75" s="72" t="s">
        <v>337</v>
      </c>
      <c r="E75" s="3"/>
      <c r="F75" s="81"/>
      <c r="H75" s="72"/>
      <c r="I75" s="72"/>
      <c r="J75" s="40"/>
      <c r="K75" s="48"/>
      <c r="L75" s="81"/>
      <c r="M75" s="81"/>
      <c r="N75" s="81"/>
      <c r="O75" s="82"/>
    </row>
    <row r="76">
      <c r="A76" s="39">
        <v>127.0</v>
      </c>
      <c r="B76" s="79" t="s">
        <v>195</v>
      </c>
      <c r="C76" s="72" t="s">
        <v>20</v>
      </c>
      <c r="D76" s="72" t="s">
        <v>212</v>
      </c>
      <c r="E76" s="3"/>
      <c r="F76" s="81"/>
      <c r="H76" s="72"/>
      <c r="I76" s="72"/>
      <c r="J76" s="40" t="s">
        <v>260</v>
      </c>
      <c r="K76" s="48" t="s">
        <v>263</v>
      </c>
      <c r="L76" s="81"/>
      <c r="M76" s="81"/>
      <c r="N76" s="81"/>
      <c r="O76" s="82"/>
    </row>
    <row r="77">
      <c r="A77" s="39">
        <v>128.0</v>
      </c>
      <c r="B77" s="79" t="s">
        <v>195</v>
      </c>
      <c r="C77" s="72" t="s">
        <v>20</v>
      </c>
      <c r="D77" s="72" t="s">
        <v>338</v>
      </c>
      <c r="E77" s="3"/>
      <c r="F77" s="81"/>
      <c r="H77" s="72"/>
      <c r="I77" s="72"/>
      <c r="J77" s="40" t="s">
        <v>260</v>
      </c>
      <c r="K77" s="48" t="s">
        <v>263</v>
      </c>
      <c r="L77" s="81"/>
      <c r="M77" s="81"/>
      <c r="N77" s="81"/>
      <c r="O77" s="83"/>
    </row>
    <row r="78">
      <c r="A78" s="39">
        <v>131.0</v>
      </c>
      <c r="B78" s="79" t="s">
        <v>195</v>
      </c>
      <c r="C78" s="72" t="s">
        <v>71</v>
      </c>
      <c r="D78" s="72" t="s">
        <v>216</v>
      </c>
      <c r="E78" s="3"/>
      <c r="F78" s="81"/>
      <c r="H78" s="72"/>
      <c r="I78" s="72"/>
      <c r="J78" s="40" t="s">
        <v>260</v>
      </c>
      <c r="K78" s="48" t="s">
        <v>269</v>
      </c>
      <c r="L78" s="81"/>
      <c r="M78" s="81"/>
      <c r="N78" s="81"/>
      <c r="O78" s="83"/>
    </row>
    <row r="79">
      <c r="A79" s="39">
        <v>132.0</v>
      </c>
      <c r="B79" s="79" t="s">
        <v>195</v>
      </c>
      <c r="C79" s="72" t="s">
        <v>20</v>
      </c>
      <c r="D79" s="72" t="s">
        <v>217</v>
      </c>
      <c r="E79" s="3"/>
      <c r="F79" s="81"/>
      <c r="H79" s="72"/>
      <c r="I79" s="72"/>
      <c r="J79" s="40" t="s">
        <v>260</v>
      </c>
      <c r="K79" s="48" t="s">
        <v>269</v>
      </c>
      <c r="L79" s="81"/>
      <c r="M79" s="81"/>
      <c r="N79" s="81"/>
      <c r="O79" s="83"/>
    </row>
    <row r="80">
      <c r="A80" s="39">
        <v>138.0</v>
      </c>
      <c r="B80" s="97" t="s">
        <v>224</v>
      </c>
      <c r="C80" s="98" t="s">
        <v>88</v>
      </c>
      <c r="D80" s="98" t="s">
        <v>225</v>
      </c>
      <c r="E80" s="3"/>
      <c r="F80" s="100"/>
      <c r="H80" s="98"/>
      <c r="I80" s="98"/>
      <c r="J80" s="40" t="s">
        <v>260</v>
      </c>
      <c r="K80" s="48" t="s">
        <v>269</v>
      </c>
      <c r="L80" s="100"/>
      <c r="M80" s="100"/>
      <c r="N80" s="100"/>
      <c r="O80" s="101"/>
    </row>
    <row r="81">
      <c r="A81" s="39">
        <v>139.0</v>
      </c>
      <c r="B81" s="97" t="s">
        <v>226</v>
      </c>
      <c r="C81" s="98" t="s">
        <v>88</v>
      </c>
      <c r="D81" s="102" t="s">
        <v>227</v>
      </c>
      <c r="E81" s="3"/>
      <c r="F81" s="104"/>
      <c r="H81" s="102"/>
      <c r="I81" s="102"/>
      <c r="J81" s="40" t="s">
        <v>260</v>
      </c>
      <c r="K81" s="48" t="s">
        <v>269</v>
      </c>
      <c r="L81" s="104"/>
      <c r="M81" s="104"/>
      <c r="N81" s="104"/>
      <c r="O81" s="105"/>
    </row>
    <row r="82">
      <c r="A82" s="39">
        <v>140.0</v>
      </c>
      <c r="B82" s="106" t="s">
        <v>226</v>
      </c>
      <c r="C82" s="40" t="s">
        <v>71</v>
      </c>
      <c r="D82" s="40" t="s">
        <v>228</v>
      </c>
      <c r="E82" s="3"/>
      <c r="F82" s="40">
        <v>8.0</v>
      </c>
      <c r="H82" s="40"/>
      <c r="I82" s="40"/>
      <c r="J82" s="40" t="s">
        <v>260</v>
      </c>
      <c r="K82" s="48" t="s">
        <v>261</v>
      </c>
      <c r="L82" s="108"/>
      <c r="M82" s="108"/>
      <c r="N82" s="108"/>
      <c r="O82" s="45"/>
    </row>
    <row r="83">
      <c r="A83" s="39">
        <v>141.0</v>
      </c>
      <c r="B83" s="97" t="s">
        <v>229</v>
      </c>
      <c r="C83" s="98" t="s">
        <v>88</v>
      </c>
      <c r="D83" s="102" t="s">
        <v>227</v>
      </c>
      <c r="E83" s="3"/>
      <c r="F83" s="104"/>
      <c r="H83" s="102"/>
      <c r="I83" s="102"/>
      <c r="J83" s="40" t="s">
        <v>260</v>
      </c>
      <c r="K83" s="48" t="s">
        <v>269</v>
      </c>
      <c r="L83" s="104"/>
      <c r="M83" s="104"/>
      <c r="N83" s="104"/>
      <c r="O83" s="105"/>
    </row>
    <row r="84">
      <c r="A84" s="39">
        <v>143.0</v>
      </c>
      <c r="B84" s="109" t="s">
        <v>232</v>
      </c>
      <c r="C84" s="102" t="s">
        <v>88</v>
      </c>
      <c r="D84" s="102" t="s">
        <v>233</v>
      </c>
      <c r="E84" s="3"/>
      <c r="F84" s="104"/>
      <c r="H84" s="102"/>
      <c r="I84" s="102"/>
      <c r="J84" s="40" t="s">
        <v>260</v>
      </c>
      <c r="K84" s="48" t="s">
        <v>269</v>
      </c>
      <c r="L84" s="104"/>
      <c r="M84" s="104"/>
      <c r="N84" s="104"/>
      <c r="O84" s="105"/>
    </row>
    <row r="85">
      <c r="A85" s="39">
        <v>144.0</v>
      </c>
      <c r="B85" s="39" t="s">
        <v>232</v>
      </c>
      <c r="C85" s="40" t="s">
        <v>20</v>
      </c>
      <c r="D85" s="40" t="s">
        <v>234</v>
      </c>
      <c r="E85" s="118" t="s">
        <v>340</v>
      </c>
      <c r="F85" s="40">
        <v>2.0</v>
      </c>
      <c r="H85" s="40"/>
      <c r="I85" s="40"/>
      <c r="J85" s="40" t="s">
        <v>260</v>
      </c>
      <c r="K85" s="48" t="s">
        <v>341</v>
      </c>
      <c r="L85" s="108"/>
      <c r="M85" s="108"/>
      <c r="N85" s="108"/>
      <c r="O85" s="45"/>
    </row>
    <row r="86">
      <c r="A86" s="39">
        <v>145.0</v>
      </c>
      <c r="B86" s="39" t="s">
        <v>232</v>
      </c>
      <c r="C86" s="40" t="s">
        <v>20</v>
      </c>
      <c r="D86" s="40" t="s">
        <v>235</v>
      </c>
      <c r="E86" s="3"/>
      <c r="F86" s="40">
        <v>2.0</v>
      </c>
      <c r="H86" s="40"/>
      <c r="I86" s="40"/>
      <c r="J86" s="40" t="s">
        <v>260</v>
      </c>
      <c r="K86" s="48" t="s">
        <v>269</v>
      </c>
      <c r="L86" s="108"/>
      <c r="M86" s="108"/>
      <c r="N86" s="108"/>
      <c r="O86" s="41"/>
    </row>
    <row r="87">
      <c r="A87" s="39">
        <v>146.0</v>
      </c>
      <c r="B87" s="39" t="s">
        <v>232</v>
      </c>
      <c r="C87" s="40" t="s">
        <v>20</v>
      </c>
      <c r="D87" s="40" t="s">
        <v>236</v>
      </c>
      <c r="E87" s="3"/>
      <c r="F87" s="40">
        <v>4.0</v>
      </c>
      <c r="H87" s="40"/>
      <c r="I87" s="40"/>
      <c r="J87" s="40" t="s">
        <v>260</v>
      </c>
      <c r="K87" s="48" t="s">
        <v>262</v>
      </c>
      <c r="L87" s="108"/>
      <c r="M87" s="108"/>
      <c r="N87" s="108"/>
      <c r="O87" s="41"/>
    </row>
    <row r="88">
      <c r="A88" s="39">
        <v>147.0</v>
      </c>
      <c r="B88" s="39" t="s">
        <v>232</v>
      </c>
      <c r="C88" s="40" t="s">
        <v>20</v>
      </c>
      <c r="D88" s="40" t="s">
        <v>237</v>
      </c>
      <c r="E88" s="3"/>
      <c r="F88" s="40">
        <v>2.0</v>
      </c>
      <c r="H88" s="40"/>
      <c r="I88" s="40"/>
      <c r="J88" s="40" t="s">
        <v>260</v>
      </c>
      <c r="K88" s="48" t="s">
        <v>261</v>
      </c>
      <c r="L88" s="108"/>
      <c r="M88" s="108"/>
      <c r="N88" s="108"/>
      <c r="O88" s="41"/>
    </row>
    <row r="89">
      <c r="A89" s="39">
        <v>148.0</v>
      </c>
      <c r="B89" s="39" t="s">
        <v>232</v>
      </c>
      <c r="C89" s="40" t="s">
        <v>71</v>
      </c>
      <c r="D89" s="40" t="s">
        <v>238</v>
      </c>
      <c r="E89" s="3"/>
      <c r="F89" s="40">
        <v>6.0</v>
      </c>
      <c r="H89" s="40"/>
      <c r="I89" s="40"/>
      <c r="J89" s="40" t="s">
        <v>260</v>
      </c>
      <c r="K89" s="48" t="s">
        <v>263</v>
      </c>
      <c r="L89" s="108"/>
      <c r="M89" s="108"/>
      <c r="N89" s="108"/>
      <c r="O89" s="41"/>
    </row>
    <row r="90">
      <c r="A90" s="39">
        <v>149.0</v>
      </c>
      <c r="B90" s="39" t="s">
        <v>232</v>
      </c>
      <c r="C90" s="40" t="s">
        <v>71</v>
      </c>
      <c r="D90" s="40" t="s">
        <v>239</v>
      </c>
      <c r="E90" s="3"/>
      <c r="F90" s="40">
        <v>16.0</v>
      </c>
      <c r="H90" s="40"/>
      <c r="I90" s="40"/>
      <c r="J90" s="40" t="s">
        <v>260</v>
      </c>
      <c r="K90" s="48" t="s">
        <v>261</v>
      </c>
      <c r="L90" s="108"/>
      <c r="M90" s="108"/>
      <c r="N90" s="108"/>
      <c r="O90" s="41"/>
    </row>
    <row r="91">
      <c r="A91" s="39">
        <v>150.0</v>
      </c>
      <c r="B91" s="39" t="s">
        <v>232</v>
      </c>
      <c r="C91" s="40" t="s">
        <v>71</v>
      </c>
      <c r="D91" s="40" t="s">
        <v>240</v>
      </c>
      <c r="E91" s="3"/>
      <c r="F91" s="40">
        <v>8.0</v>
      </c>
      <c r="H91" s="40"/>
      <c r="I91" s="40"/>
      <c r="J91" s="40" t="s">
        <v>260</v>
      </c>
      <c r="K91" s="48" t="s">
        <v>263</v>
      </c>
      <c r="L91" s="108"/>
      <c r="M91" s="108"/>
      <c r="N91" s="108"/>
      <c r="O91" s="41"/>
    </row>
    <row r="92">
      <c r="A92" s="39">
        <v>151.0</v>
      </c>
      <c r="B92" s="39" t="s">
        <v>232</v>
      </c>
      <c r="C92" s="40" t="s">
        <v>71</v>
      </c>
      <c r="D92" s="40" t="s">
        <v>241</v>
      </c>
      <c r="E92" s="3"/>
      <c r="F92" s="40">
        <v>2.0</v>
      </c>
      <c r="H92" s="40"/>
      <c r="I92" s="40"/>
      <c r="J92" s="40" t="s">
        <v>260</v>
      </c>
      <c r="K92" s="48" t="s">
        <v>341</v>
      </c>
      <c r="L92" s="108"/>
      <c r="M92" s="108"/>
      <c r="N92" s="108"/>
      <c r="O92" s="41"/>
    </row>
    <row r="93">
      <c r="A93" s="39">
        <v>152.0</v>
      </c>
      <c r="B93" s="39" t="s">
        <v>232</v>
      </c>
      <c r="C93" s="110" t="s">
        <v>71</v>
      </c>
      <c r="D93" s="110" t="s">
        <v>242</v>
      </c>
      <c r="E93" s="3"/>
      <c r="F93" s="110">
        <v>2.0</v>
      </c>
      <c r="H93" s="110"/>
      <c r="I93" s="110"/>
      <c r="J93" s="40" t="s">
        <v>260</v>
      </c>
      <c r="K93" s="48" t="s">
        <v>261</v>
      </c>
      <c r="L93" s="112"/>
      <c r="M93" s="112"/>
      <c r="N93" s="112"/>
      <c r="O93" s="113"/>
    </row>
    <row r="94">
      <c r="A94" s="39">
        <v>154.0</v>
      </c>
      <c r="B94" s="117" t="s">
        <v>243</v>
      </c>
      <c r="C94" s="117" t="s">
        <v>71</v>
      </c>
      <c r="D94" s="118" t="s">
        <v>244</v>
      </c>
      <c r="E94" s="147" t="s">
        <v>297</v>
      </c>
      <c r="J94" s="40" t="s">
        <v>260</v>
      </c>
      <c r="K94" s="48" t="s">
        <v>261</v>
      </c>
    </row>
    <row r="95">
      <c r="A95" s="39">
        <v>155.0</v>
      </c>
      <c r="B95" s="106" t="s">
        <v>245</v>
      </c>
      <c r="C95" s="98" t="s">
        <v>88</v>
      </c>
      <c r="D95" s="98" t="s">
        <v>246</v>
      </c>
      <c r="E95" s="3"/>
      <c r="F95" s="119">
        <v>2.0</v>
      </c>
      <c r="H95" s="119"/>
      <c r="I95" s="119"/>
      <c r="J95" s="40" t="s">
        <v>260</v>
      </c>
      <c r="K95" s="48" t="s">
        <v>269</v>
      </c>
      <c r="L95" s="121"/>
      <c r="M95" s="121"/>
      <c r="N95" s="121"/>
      <c r="O95" s="122"/>
    </row>
    <row r="96">
      <c r="A96" s="39">
        <v>156.0</v>
      </c>
      <c r="B96" s="106" t="s">
        <v>247</v>
      </c>
      <c r="C96" s="119" t="s">
        <v>88</v>
      </c>
      <c r="D96" s="98" t="s">
        <v>248</v>
      </c>
      <c r="E96" s="3"/>
      <c r="F96" s="119">
        <v>16.0</v>
      </c>
      <c r="H96" s="119"/>
      <c r="I96" s="119"/>
      <c r="J96" s="40" t="s">
        <v>260</v>
      </c>
      <c r="K96" s="48" t="s">
        <v>269</v>
      </c>
      <c r="L96" s="121"/>
      <c r="M96" s="121"/>
      <c r="N96" s="121"/>
      <c r="O96" s="122"/>
    </row>
    <row r="97">
      <c r="A97" s="39">
        <v>157.0</v>
      </c>
      <c r="E97" s="3"/>
    </row>
    <row r="98">
      <c r="A98" s="39">
        <v>158.0</v>
      </c>
      <c r="B98" s="117" t="s">
        <v>342</v>
      </c>
      <c r="D98" s="118" t="s">
        <v>343</v>
      </c>
      <c r="F98" s="117">
        <v>50.0</v>
      </c>
    </row>
    <row r="99">
      <c r="A99" s="39">
        <v>159.0</v>
      </c>
      <c r="B99" s="117" t="s">
        <v>344</v>
      </c>
      <c r="D99" s="118" t="s">
        <v>345</v>
      </c>
      <c r="E99" s="3"/>
      <c r="F99" s="117">
        <v>20.0</v>
      </c>
    </row>
    <row r="100">
      <c r="A100" s="39">
        <v>160.0</v>
      </c>
      <c r="B100" s="117" t="s">
        <v>346</v>
      </c>
      <c r="D100" s="118" t="s">
        <v>347</v>
      </c>
      <c r="E100" s="3"/>
      <c r="F100" s="117">
        <v>24.0</v>
      </c>
    </row>
    <row r="101">
      <c r="A101" s="39">
        <v>161.0</v>
      </c>
      <c r="E101" s="3"/>
    </row>
    <row r="102">
      <c r="A102" s="39">
        <v>162.0</v>
      </c>
      <c r="B102" s="128" t="s">
        <v>249</v>
      </c>
      <c r="C102" s="129" t="s">
        <v>20</v>
      </c>
      <c r="D102" s="129" t="s">
        <v>250</v>
      </c>
      <c r="E102" s="3"/>
    </row>
    <row r="103">
      <c r="A103" s="39">
        <v>163.0</v>
      </c>
      <c r="B103" s="128" t="s">
        <v>249</v>
      </c>
      <c r="C103" s="129" t="s">
        <v>20</v>
      </c>
      <c r="D103" s="129" t="s">
        <v>251</v>
      </c>
      <c r="E103" s="3"/>
    </row>
    <row r="104">
      <c r="A104" s="39">
        <v>164.0</v>
      </c>
      <c r="B104" s="128" t="s">
        <v>249</v>
      </c>
      <c r="C104" s="129" t="s">
        <v>20</v>
      </c>
      <c r="D104" s="129" t="s">
        <v>252</v>
      </c>
      <c r="E104" s="3"/>
    </row>
    <row r="105">
      <c r="A105" s="39">
        <v>165.0</v>
      </c>
      <c r="B105" s="128" t="s">
        <v>249</v>
      </c>
      <c r="C105" s="129" t="s">
        <v>71</v>
      </c>
      <c r="D105" s="129" t="s">
        <v>253</v>
      </c>
      <c r="E105" s="3"/>
    </row>
    <row r="106">
      <c r="A106" s="39">
        <v>166.0</v>
      </c>
      <c r="B106" s="128" t="s">
        <v>249</v>
      </c>
      <c r="C106" s="129" t="s">
        <v>20</v>
      </c>
      <c r="D106" s="129" t="s">
        <v>254</v>
      </c>
      <c r="E106" s="3"/>
    </row>
    <row r="107">
      <c r="E107" s="3"/>
    </row>
    <row r="108">
      <c r="E108" s="118" t="s">
        <v>947</v>
      </c>
      <c r="F108" s="155">
        <f>SUM(F3:F101)</f>
        <v>548</v>
      </c>
      <c r="H108" s="155">
        <f>F108/8</f>
        <v>68.5</v>
      </c>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sheetData>
  <autoFilter ref="$B$2:$Z$96"/>
  <mergeCells count="3">
    <mergeCell ref="F29:F32"/>
    <mergeCell ref="E33:E34"/>
    <mergeCell ref="F50:F51"/>
  </mergeCells>
  <dataValidations>
    <dataValidation type="list" allowBlank="1" showErrorMessage="1" sqref="K3:K10 K12:K96">
      <formula1>"база данных,интеграция с платежной системой,автоматические уведомления без сложной логики,AI-аналитика,администрирование,эскалация,интеграция с ТГ,другое,интерфейс"</formula1>
    </dataValidation>
    <dataValidation type="list" allowBlank="1" showErrorMessage="1" sqref="J3:J96">
      <formula1>"уже умеет,50/50,Must,Unic,Excite,Features,Eco"</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63"/>
    <col customWidth="1" min="2" max="2" width="23.0"/>
    <col customWidth="1" min="3" max="3" width="80.0"/>
    <col customWidth="1" min="4" max="5" width="17.5"/>
    <col customWidth="1" min="6" max="6" width="34.38"/>
    <col customWidth="1" min="7" max="7" width="28.88"/>
    <col customWidth="1" min="8" max="8" width="18.25"/>
    <col customWidth="1" min="9" max="9" width="27.38"/>
    <col customWidth="1" min="10" max="11" width="34.0"/>
    <col customWidth="1" min="12" max="12" width="24.38"/>
  </cols>
  <sheetData>
    <row r="1" ht="106.5" customHeight="1">
      <c r="A1" s="1" t="s">
        <v>0</v>
      </c>
      <c r="B1" s="1" t="s">
        <v>1</v>
      </c>
      <c r="C1" s="1" t="s">
        <v>2</v>
      </c>
      <c r="D1" s="1"/>
      <c r="E1" s="1"/>
      <c r="F1" s="1" t="s">
        <v>3</v>
      </c>
      <c r="G1" s="1" t="s">
        <v>4</v>
      </c>
      <c r="H1" s="2"/>
      <c r="I1" s="1" t="s">
        <v>5</v>
      </c>
      <c r="J1" s="1" t="s">
        <v>6</v>
      </c>
      <c r="K1" s="1" t="s">
        <v>7</v>
      </c>
      <c r="L1" s="1" t="s">
        <v>8</v>
      </c>
      <c r="M1" s="3"/>
      <c r="N1" s="3"/>
      <c r="O1" s="3"/>
      <c r="P1" s="3"/>
      <c r="Q1" s="3"/>
      <c r="R1" s="3"/>
      <c r="S1" s="3"/>
      <c r="T1" s="3"/>
      <c r="U1" s="3"/>
      <c r="V1" s="3"/>
      <c r="W1" s="3"/>
      <c r="X1" s="3"/>
      <c r="Y1" s="3"/>
      <c r="Z1" s="3"/>
      <c r="AA1" s="3"/>
      <c r="AB1" s="3"/>
      <c r="AC1" s="3"/>
    </row>
    <row r="2">
      <c r="A2" s="4" t="s">
        <v>9</v>
      </c>
      <c r="B2" s="5" t="s">
        <v>10</v>
      </c>
      <c r="C2" s="6" t="s">
        <v>11</v>
      </c>
      <c r="D2" s="6" t="s">
        <v>69</v>
      </c>
      <c r="E2" s="6"/>
      <c r="F2" s="6" t="s">
        <v>12</v>
      </c>
      <c r="G2" s="6" t="s">
        <v>13</v>
      </c>
      <c r="H2" s="5" t="s">
        <v>14</v>
      </c>
      <c r="I2" s="5" t="s">
        <v>15</v>
      </c>
      <c r="J2" s="5" t="s">
        <v>16</v>
      </c>
      <c r="K2" s="5" t="s">
        <v>17</v>
      </c>
      <c r="L2" s="7" t="s">
        <v>19</v>
      </c>
    </row>
    <row r="3">
      <c r="A3" s="419"/>
      <c r="B3" s="14" t="s">
        <v>20</v>
      </c>
      <c r="C3" s="14" t="s">
        <v>368</v>
      </c>
      <c r="D3" s="14" t="s">
        <v>948</v>
      </c>
      <c r="E3" s="14"/>
      <c r="F3" s="10" t="s">
        <v>461</v>
      </c>
      <c r="G3" s="11" t="s">
        <v>261</v>
      </c>
      <c r="H3" s="12"/>
      <c r="I3" s="12"/>
      <c r="J3" s="12"/>
      <c r="K3" s="12"/>
      <c r="L3" s="13"/>
    </row>
    <row r="4">
      <c r="A4" s="419"/>
      <c r="B4" s="14" t="s">
        <v>20</v>
      </c>
      <c r="C4" s="14" t="s">
        <v>949</v>
      </c>
      <c r="D4" s="14" t="s">
        <v>948</v>
      </c>
      <c r="E4" s="14"/>
      <c r="F4" s="10" t="s">
        <v>461</v>
      </c>
      <c r="G4" s="11" t="s">
        <v>261</v>
      </c>
      <c r="H4" s="12"/>
      <c r="J4" s="12"/>
      <c r="K4" s="12"/>
      <c r="L4" s="13"/>
    </row>
    <row r="5">
      <c r="A5" s="419"/>
      <c r="B5" s="14" t="s">
        <v>20</v>
      </c>
      <c r="C5" s="14" t="s">
        <v>950</v>
      </c>
      <c r="D5" s="14" t="s">
        <v>948</v>
      </c>
      <c r="E5" s="14"/>
      <c r="F5" s="10" t="s">
        <v>461</v>
      </c>
      <c r="G5" s="11" t="s">
        <v>261</v>
      </c>
      <c r="H5" s="12"/>
      <c r="I5" s="12"/>
      <c r="J5" s="12"/>
      <c r="K5" s="12"/>
      <c r="L5" s="13"/>
    </row>
    <row r="6">
      <c r="A6" s="419"/>
      <c r="B6" s="14" t="s">
        <v>20</v>
      </c>
      <c r="C6" s="14" t="s">
        <v>371</v>
      </c>
      <c r="D6" s="14" t="s">
        <v>948</v>
      </c>
      <c r="E6" s="14"/>
      <c r="F6" s="10" t="s">
        <v>461</v>
      </c>
      <c r="G6" s="11" t="s">
        <v>261</v>
      </c>
      <c r="H6" s="12"/>
      <c r="I6" s="12"/>
      <c r="J6" s="12"/>
      <c r="K6" s="12"/>
      <c r="L6" s="13"/>
    </row>
    <row r="7">
      <c r="A7" s="419"/>
      <c r="B7" s="14" t="s">
        <v>20</v>
      </c>
      <c r="C7" s="14" t="s">
        <v>372</v>
      </c>
      <c r="D7" s="14" t="s">
        <v>948</v>
      </c>
      <c r="E7" s="14"/>
      <c r="F7" s="10" t="s">
        <v>461</v>
      </c>
      <c r="G7" s="11" t="s">
        <v>261</v>
      </c>
      <c r="H7" s="12"/>
      <c r="I7" s="12"/>
      <c r="J7" s="12"/>
      <c r="K7" s="12"/>
      <c r="L7" s="13"/>
    </row>
    <row r="8">
      <c r="A8" s="419"/>
      <c r="B8" s="14" t="s">
        <v>20</v>
      </c>
      <c r="C8" s="14" t="s">
        <v>951</v>
      </c>
      <c r="D8" s="14" t="s">
        <v>948</v>
      </c>
      <c r="E8" s="14"/>
      <c r="F8" s="10" t="s">
        <v>472</v>
      </c>
      <c r="G8" s="11" t="s">
        <v>262</v>
      </c>
      <c r="H8" s="12"/>
      <c r="I8" s="12"/>
      <c r="J8" s="12"/>
      <c r="K8" s="12"/>
      <c r="L8" s="13"/>
    </row>
    <row r="9">
      <c r="A9" s="419"/>
      <c r="B9" s="14" t="s">
        <v>20</v>
      </c>
      <c r="C9" s="14" t="s">
        <v>952</v>
      </c>
      <c r="D9" s="14" t="s">
        <v>953</v>
      </c>
      <c r="E9" s="14" t="s">
        <v>954</v>
      </c>
      <c r="F9" s="10" t="s">
        <v>955</v>
      </c>
      <c r="G9" s="11" t="s">
        <v>261</v>
      </c>
      <c r="H9" s="12"/>
      <c r="I9" s="12"/>
      <c r="J9" s="12"/>
      <c r="K9" s="12"/>
      <c r="L9" s="13"/>
    </row>
    <row r="10">
      <c r="A10" s="419"/>
      <c r="B10" s="14" t="s">
        <v>20</v>
      </c>
      <c r="C10" s="14" t="s">
        <v>212</v>
      </c>
      <c r="D10" s="14" t="s">
        <v>948</v>
      </c>
      <c r="E10" s="14"/>
      <c r="F10" s="10" t="s">
        <v>461</v>
      </c>
      <c r="G10" s="11" t="s">
        <v>261</v>
      </c>
      <c r="H10" s="12"/>
      <c r="I10" s="12"/>
      <c r="J10" s="12"/>
      <c r="K10" s="12"/>
      <c r="L10" s="13"/>
    </row>
    <row r="11">
      <c r="A11" s="419"/>
      <c r="B11" s="14" t="s">
        <v>20</v>
      </c>
      <c r="C11" s="14" t="s">
        <v>213</v>
      </c>
      <c r="D11" s="14" t="s">
        <v>948</v>
      </c>
      <c r="E11" s="14"/>
      <c r="F11" s="10" t="s">
        <v>461</v>
      </c>
      <c r="G11" s="11" t="s">
        <v>261</v>
      </c>
      <c r="H11" s="12"/>
      <c r="I11" s="12"/>
      <c r="J11" s="12"/>
      <c r="K11" s="12"/>
      <c r="L11" s="13"/>
    </row>
    <row r="12">
      <c r="A12" s="419"/>
      <c r="B12" s="14" t="s">
        <v>20</v>
      </c>
      <c r="C12" s="14" t="s">
        <v>250</v>
      </c>
      <c r="D12" s="14" t="s">
        <v>953</v>
      </c>
      <c r="E12" s="14"/>
      <c r="F12" s="10" t="s">
        <v>461</v>
      </c>
      <c r="G12" s="11" t="s">
        <v>261</v>
      </c>
      <c r="H12" s="12"/>
      <c r="I12" s="12"/>
      <c r="J12" s="12"/>
      <c r="K12" s="12"/>
      <c r="L12" s="13"/>
    </row>
    <row r="13">
      <c r="A13" s="419"/>
      <c r="B13" s="14" t="s">
        <v>20</v>
      </c>
      <c r="C13" s="14" t="s">
        <v>956</v>
      </c>
      <c r="D13" s="14" t="s">
        <v>953</v>
      </c>
      <c r="E13" s="14"/>
      <c r="F13" s="10" t="s">
        <v>211</v>
      </c>
      <c r="G13" s="11" t="s">
        <v>277</v>
      </c>
      <c r="H13" s="12"/>
      <c r="I13" s="12"/>
      <c r="J13" s="12"/>
      <c r="K13" s="12"/>
      <c r="L13" s="13"/>
    </row>
    <row r="14">
      <c r="A14" s="419"/>
      <c r="B14" s="14" t="s">
        <v>20</v>
      </c>
      <c r="C14" s="14" t="s">
        <v>957</v>
      </c>
      <c r="D14" s="14" t="s">
        <v>948</v>
      </c>
      <c r="E14" s="14"/>
      <c r="F14" s="10" t="s">
        <v>461</v>
      </c>
      <c r="G14" s="11" t="s">
        <v>277</v>
      </c>
      <c r="H14" s="12"/>
      <c r="I14" s="12"/>
      <c r="J14" s="12"/>
      <c r="K14" s="12"/>
      <c r="L14" s="13"/>
    </row>
    <row r="15">
      <c r="A15" s="419"/>
      <c r="B15" s="14" t="s">
        <v>20</v>
      </c>
      <c r="C15" s="14" t="s">
        <v>380</v>
      </c>
      <c r="D15" s="14" t="s">
        <v>953</v>
      </c>
      <c r="E15" s="14"/>
      <c r="F15" s="10" t="s">
        <v>955</v>
      </c>
      <c r="G15" s="11" t="s">
        <v>534</v>
      </c>
      <c r="H15" s="12"/>
      <c r="I15" s="12"/>
      <c r="J15" s="12"/>
      <c r="K15" s="12"/>
      <c r="L15" s="13"/>
    </row>
    <row r="16">
      <c r="A16" s="419"/>
      <c r="B16" s="14" t="s">
        <v>20</v>
      </c>
      <c r="C16" s="14" t="s">
        <v>958</v>
      </c>
      <c r="D16" s="14" t="s">
        <v>948</v>
      </c>
      <c r="E16" s="14"/>
      <c r="F16" s="10" t="s">
        <v>461</v>
      </c>
      <c r="G16" s="11" t="s">
        <v>534</v>
      </c>
      <c r="H16" s="12"/>
      <c r="I16" s="12"/>
      <c r="J16" s="12"/>
      <c r="K16" s="12"/>
      <c r="L16" s="13"/>
    </row>
    <row r="17">
      <c r="A17" s="419"/>
      <c r="B17" s="14" t="s">
        <v>20</v>
      </c>
      <c r="C17" s="14" t="s">
        <v>400</v>
      </c>
      <c r="D17" s="14" t="s">
        <v>948</v>
      </c>
      <c r="E17" s="14" t="s">
        <v>959</v>
      </c>
      <c r="F17" s="10" t="s">
        <v>461</v>
      </c>
      <c r="G17" s="11" t="s">
        <v>261</v>
      </c>
      <c r="H17" s="12"/>
      <c r="I17" s="12"/>
      <c r="J17" s="12"/>
      <c r="K17" s="12"/>
      <c r="L17" s="13"/>
    </row>
    <row r="18">
      <c r="A18" s="419"/>
      <c r="B18" s="14" t="s">
        <v>20</v>
      </c>
      <c r="C18" s="117" t="s">
        <v>415</v>
      </c>
      <c r="D18" s="14" t="s">
        <v>953</v>
      </c>
      <c r="E18" s="14"/>
      <c r="F18" s="10" t="s">
        <v>221</v>
      </c>
      <c r="G18" s="11" t="s">
        <v>534</v>
      </c>
      <c r="H18" s="12"/>
      <c r="I18" s="12"/>
      <c r="J18" s="12"/>
      <c r="K18" s="12"/>
      <c r="L18" s="13"/>
    </row>
    <row r="19">
      <c r="A19" s="419"/>
      <c r="B19" s="14" t="s">
        <v>20</v>
      </c>
      <c r="C19" s="14" t="s">
        <v>960</v>
      </c>
      <c r="D19" s="14" t="s">
        <v>953</v>
      </c>
      <c r="E19" s="14"/>
      <c r="F19" s="10" t="s">
        <v>221</v>
      </c>
      <c r="G19" s="11" t="s">
        <v>534</v>
      </c>
      <c r="H19" s="12"/>
      <c r="I19" s="12"/>
      <c r="J19" s="12"/>
      <c r="K19" s="12"/>
      <c r="L19" s="13"/>
    </row>
    <row r="20">
      <c r="A20" s="419"/>
      <c r="B20" s="14" t="s">
        <v>20</v>
      </c>
      <c r="C20" s="14" t="s">
        <v>961</v>
      </c>
      <c r="D20" s="14" t="s">
        <v>953</v>
      </c>
      <c r="E20" s="14"/>
      <c r="F20" s="10" t="s">
        <v>221</v>
      </c>
      <c r="G20" s="11" t="s">
        <v>534</v>
      </c>
      <c r="H20" s="12"/>
      <c r="I20" s="12"/>
      <c r="J20" s="12"/>
      <c r="K20" s="12"/>
      <c r="L20" s="13"/>
    </row>
    <row r="21">
      <c r="A21" s="419"/>
      <c r="B21" s="14" t="s">
        <v>20</v>
      </c>
      <c r="C21" s="14" t="s">
        <v>235</v>
      </c>
      <c r="D21" s="14" t="s">
        <v>948</v>
      </c>
      <c r="E21" s="14"/>
      <c r="F21" s="10" t="s">
        <v>221</v>
      </c>
      <c r="G21" s="11" t="s">
        <v>534</v>
      </c>
      <c r="H21" s="12"/>
      <c r="I21" s="12"/>
      <c r="J21" s="12"/>
      <c r="K21" s="12"/>
      <c r="L21" s="13"/>
    </row>
    <row r="22">
      <c r="A22" s="419"/>
      <c r="B22" s="14" t="s">
        <v>20</v>
      </c>
      <c r="C22" s="14" t="s">
        <v>962</v>
      </c>
      <c r="D22" s="14" t="s">
        <v>948</v>
      </c>
      <c r="E22" s="14"/>
      <c r="F22" s="10" t="s">
        <v>221</v>
      </c>
      <c r="G22" s="11" t="s">
        <v>534</v>
      </c>
      <c r="H22" s="12"/>
      <c r="I22" s="12"/>
      <c r="J22" s="12"/>
      <c r="K22" s="12"/>
      <c r="L22" s="13"/>
    </row>
    <row r="23" ht="31.5" customHeight="1">
      <c r="A23" s="419"/>
      <c r="B23" s="14" t="s">
        <v>20</v>
      </c>
      <c r="C23" s="14" t="s">
        <v>963</v>
      </c>
      <c r="D23" s="14" t="s">
        <v>948</v>
      </c>
      <c r="E23" s="14"/>
      <c r="F23" s="10" t="s">
        <v>221</v>
      </c>
      <c r="G23" s="11" t="s">
        <v>534</v>
      </c>
      <c r="H23" s="12"/>
      <c r="I23" s="12"/>
      <c r="J23" s="12"/>
      <c r="K23" s="12"/>
      <c r="L23" s="13"/>
    </row>
    <row r="24">
      <c r="A24" s="419"/>
      <c r="B24" s="14" t="s">
        <v>20</v>
      </c>
      <c r="C24" s="14" t="s">
        <v>964</v>
      </c>
      <c r="D24" s="14" t="s">
        <v>948</v>
      </c>
      <c r="E24" s="14"/>
      <c r="F24" s="10" t="s">
        <v>221</v>
      </c>
      <c r="G24" s="11" t="s">
        <v>534</v>
      </c>
      <c r="H24" s="12"/>
      <c r="I24" s="12"/>
      <c r="J24" s="12"/>
      <c r="K24" s="12"/>
      <c r="L24" s="13"/>
    </row>
    <row r="25">
      <c r="A25" s="419"/>
      <c r="B25" s="14" t="s">
        <v>20</v>
      </c>
      <c r="C25" s="14" t="s">
        <v>252</v>
      </c>
      <c r="D25" s="14" t="s">
        <v>953</v>
      </c>
      <c r="E25" s="14"/>
      <c r="F25" s="10" t="s">
        <v>461</v>
      </c>
      <c r="G25" s="11" t="s">
        <v>482</v>
      </c>
      <c r="H25" s="12"/>
      <c r="I25" s="12"/>
      <c r="J25" s="12"/>
      <c r="K25" s="12"/>
      <c r="L25" s="13"/>
    </row>
    <row r="26">
      <c r="A26" s="419"/>
      <c r="B26" s="14" t="s">
        <v>20</v>
      </c>
      <c r="C26" s="14" t="s">
        <v>411</v>
      </c>
      <c r="D26" s="14" t="s">
        <v>953</v>
      </c>
      <c r="E26" s="14"/>
      <c r="F26" s="10" t="s">
        <v>955</v>
      </c>
      <c r="G26" s="11" t="s">
        <v>261</v>
      </c>
      <c r="H26" s="12"/>
      <c r="I26" s="12"/>
      <c r="J26" s="12"/>
      <c r="K26" s="12"/>
      <c r="L26" s="13"/>
    </row>
    <row r="27">
      <c r="A27" s="420"/>
      <c r="B27" s="421" t="s">
        <v>71</v>
      </c>
      <c r="C27" s="422" t="s">
        <v>412</v>
      </c>
      <c r="D27" s="14" t="s">
        <v>948</v>
      </c>
      <c r="E27" s="14" t="s">
        <v>965</v>
      </c>
      <c r="F27" s="423" t="s">
        <v>221</v>
      </c>
      <c r="G27" s="423" t="s">
        <v>261</v>
      </c>
      <c r="H27" s="424"/>
      <c r="I27" s="425"/>
      <c r="J27" s="425"/>
      <c r="K27" s="425"/>
      <c r="L27" s="426"/>
      <c r="M27" s="427"/>
      <c r="N27" s="427"/>
      <c r="O27" s="427"/>
      <c r="P27" s="427"/>
      <c r="Q27" s="427"/>
      <c r="R27" s="427"/>
      <c r="S27" s="427"/>
      <c r="T27" s="427"/>
      <c r="U27" s="427"/>
      <c r="V27" s="427"/>
      <c r="W27" s="427"/>
      <c r="X27" s="427"/>
      <c r="Y27" s="427"/>
      <c r="Z27" s="427"/>
      <c r="AA27" s="427"/>
      <c r="AB27" s="427"/>
    </row>
    <row r="28">
      <c r="A28" s="419"/>
      <c r="B28" s="421" t="s">
        <v>71</v>
      </c>
      <c r="C28" s="14" t="s">
        <v>966</v>
      </c>
      <c r="D28" s="14" t="s">
        <v>948</v>
      </c>
      <c r="E28" s="14" t="s">
        <v>965</v>
      </c>
      <c r="F28" s="10" t="s">
        <v>221</v>
      </c>
      <c r="G28" s="11" t="s">
        <v>261</v>
      </c>
      <c r="H28" s="12"/>
      <c r="I28" s="12"/>
      <c r="J28" s="12"/>
      <c r="K28" s="12"/>
      <c r="L28" s="13"/>
    </row>
    <row r="29">
      <c r="A29" s="419"/>
      <c r="B29" s="421" t="s">
        <v>71</v>
      </c>
      <c r="C29" s="14" t="s">
        <v>967</v>
      </c>
      <c r="D29" s="14" t="s">
        <v>948</v>
      </c>
      <c r="E29" s="14"/>
      <c r="F29" s="10" t="s">
        <v>461</v>
      </c>
      <c r="G29" s="11" t="s">
        <v>534</v>
      </c>
      <c r="H29" s="12"/>
      <c r="I29" s="12"/>
      <c r="J29" s="12"/>
      <c r="K29" s="12"/>
      <c r="L29" s="13"/>
    </row>
    <row r="30">
      <c r="A30" s="419"/>
      <c r="B30" s="421" t="s">
        <v>71</v>
      </c>
      <c r="C30" s="14" t="s">
        <v>968</v>
      </c>
      <c r="D30" s="14" t="s">
        <v>969</v>
      </c>
      <c r="E30" s="14" t="s">
        <v>970</v>
      </c>
      <c r="F30" s="10" t="s">
        <v>472</v>
      </c>
      <c r="G30" s="11" t="s">
        <v>534</v>
      </c>
      <c r="H30" s="12"/>
      <c r="I30" s="12"/>
      <c r="J30" s="12"/>
      <c r="K30" s="12"/>
      <c r="L30" s="13"/>
    </row>
    <row r="31">
      <c r="A31" s="419"/>
      <c r="B31" s="421" t="s">
        <v>71</v>
      </c>
      <c r="C31" s="16" t="s">
        <v>971</v>
      </c>
      <c r="D31" s="14" t="s">
        <v>969</v>
      </c>
      <c r="E31" s="14" t="s">
        <v>970</v>
      </c>
      <c r="F31" s="10" t="s">
        <v>472</v>
      </c>
      <c r="G31" s="11" t="s">
        <v>534</v>
      </c>
      <c r="H31" s="12"/>
      <c r="I31" s="12"/>
      <c r="J31" s="12"/>
      <c r="K31" s="12"/>
      <c r="L31" s="13"/>
    </row>
    <row r="32">
      <c r="A32" s="419"/>
      <c r="B32" s="421" t="s">
        <v>71</v>
      </c>
      <c r="C32" s="14" t="s">
        <v>376</v>
      </c>
      <c r="D32" s="14" t="s">
        <v>969</v>
      </c>
      <c r="E32" s="14" t="s">
        <v>970</v>
      </c>
      <c r="F32" s="10" t="s">
        <v>472</v>
      </c>
      <c r="G32" s="11" t="s">
        <v>534</v>
      </c>
      <c r="H32" s="12"/>
      <c r="I32" s="12"/>
      <c r="J32" s="12"/>
      <c r="K32" s="12"/>
      <c r="L32" s="13"/>
    </row>
    <row r="33">
      <c r="A33" s="419"/>
      <c r="B33" s="421" t="s">
        <v>71</v>
      </c>
      <c r="C33" s="14" t="s">
        <v>972</v>
      </c>
      <c r="D33" s="14" t="s">
        <v>969</v>
      </c>
      <c r="E33" s="14" t="s">
        <v>970</v>
      </c>
      <c r="F33" s="10" t="s">
        <v>472</v>
      </c>
      <c r="G33" s="11" t="s">
        <v>261</v>
      </c>
      <c r="H33" s="12"/>
      <c r="I33" s="12"/>
      <c r="J33" s="12"/>
      <c r="K33" s="12"/>
      <c r="L33" s="13"/>
    </row>
    <row r="34">
      <c r="A34" s="419"/>
      <c r="B34" s="421" t="s">
        <v>71</v>
      </c>
      <c r="C34" s="14" t="s">
        <v>973</v>
      </c>
      <c r="D34" s="14" t="s">
        <v>969</v>
      </c>
      <c r="E34" s="14" t="s">
        <v>970</v>
      </c>
      <c r="F34" s="10" t="s">
        <v>472</v>
      </c>
      <c r="G34" s="11" t="s">
        <v>262</v>
      </c>
      <c r="H34" s="12"/>
      <c r="I34" s="12"/>
      <c r="J34" s="12"/>
      <c r="K34" s="12"/>
      <c r="L34" s="13"/>
    </row>
    <row r="35">
      <c r="A35" s="419"/>
      <c r="B35" s="421" t="s">
        <v>71</v>
      </c>
      <c r="C35" s="14" t="s">
        <v>396</v>
      </c>
      <c r="D35" s="14" t="s">
        <v>969</v>
      </c>
      <c r="E35" s="14" t="s">
        <v>970</v>
      </c>
      <c r="F35" s="10" t="s">
        <v>472</v>
      </c>
      <c r="G35" s="11" t="s">
        <v>277</v>
      </c>
      <c r="H35" s="12"/>
      <c r="I35" s="12"/>
      <c r="J35" s="12"/>
      <c r="K35" s="12"/>
      <c r="L35" s="13"/>
    </row>
    <row r="36">
      <c r="A36" s="419"/>
      <c r="B36" s="421" t="s">
        <v>71</v>
      </c>
      <c r="C36" s="14" t="s">
        <v>414</v>
      </c>
      <c r="D36" s="14" t="s">
        <v>953</v>
      </c>
      <c r="E36" s="14" t="s">
        <v>974</v>
      </c>
      <c r="F36" s="10" t="s">
        <v>461</v>
      </c>
      <c r="G36" s="11" t="s">
        <v>341</v>
      </c>
      <c r="H36" s="12"/>
      <c r="I36" s="12"/>
      <c r="J36" s="12"/>
      <c r="K36" s="12"/>
      <c r="L36" s="13"/>
    </row>
    <row r="37">
      <c r="A37" s="419"/>
      <c r="B37" s="421" t="s">
        <v>71</v>
      </c>
      <c r="C37" s="14" t="s">
        <v>238</v>
      </c>
      <c r="D37" s="14" t="s">
        <v>948</v>
      </c>
      <c r="E37" s="14" t="s">
        <v>975</v>
      </c>
      <c r="F37" s="10" t="s">
        <v>461</v>
      </c>
      <c r="G37" s="11" t="s">
        <v>341</v>
      </c>
      <c r="H37" s="12"/>
      <c r="I37" s="12"/>
      <c r="J37" s="12"/>
      <c r="K37" s="12"/>
      <c r="L37" s="13"/>
    </row>
    <row r="38">
      <c r="A38" s="419"/>
      <c r="B38" s="421" t="s">
        <v>71</v>
      </c>
      <c r="C38" s="14" t="s">
        <v>408</v>
      </c>
      <c r="D38" s="14" t="s">
        <v>948</v>
      </c>
      <c r="E38" s="14"/>
      <c r="F38" s="10" t="s">
        <v>461</v>
      </c>
      <c r="G38" s="11" t="s">
        <v>341</v>
      </c>
      <c r="H38" s="12"/>
      <c r="I38" s="12"/>
      <c r="J38" s="12"/>
      <c r="K38" s="12"/>
      <c r="L38" s="13"/>
    </row>
    <row r="39">
      <c r="A39" s="428"/>
      <c r="B39" s="421" t="s">
        <v>71</v>
      </c>
      <c r="C39" s="14" t="s">
        <v>240</v>
      </c>
      <c r="D39" s="14" t="s">
        <v>948</v>
      </c>
      <c r="E39" s="14"/>
      <c r="F39" s="10" t="s">
        <v>461</v>
      </c>
      <c r="G39" s="11" t="s">
        <v>341</v>
      </c>
      <c r="H39" s="12"/>
      <c r="I39" s="12"/>
      <c r="J39" s="12"/>
      <c r="K39" s="12"/>
      <c r="L39" s="13"/>
    </row>
    <row r="40">
      <c r="A40" s="428"/>
      <c r="B40" s="421" t="s">
        <v>71</v>
      </c>
      <c r="C40" s="18" t="s">
        <v>241</v>
      </c>
      <c r="D40" s="14" t="s">
        <v>953</v>
      </c>
      <c r="E40" s="14"/>
      <c r="F40" s="10" t="s">
        <v>955</v>
      </c>
      <c r="G40" s="11" t="s">
        <v>261</v>
      </c>
      <c r="H40" s="12"/>
      <c r="I40" s="12"/>
      <c r="J40" s="12"/>
      <c r="K40" s="12"/>
      <c r="L40" s="13"/>
    </row>
    <row r="41">
      <c r="A41" s="428"/>
      <c r="B41" s="421"/>
      <c r="C41" s="18"/>
      <c r="D41" s="18"/>
      <c r="E41" s="18"/>
      <c r="F41" s="10"/>
      <c r="G41" s="11"/>
      <c r="H41" s="12"/>
      <c r="I41" s="12"/>
      <c r="J41" s="12"/>
      <c r="K41" s="12"/>
      <c r="L41" s="13"/>
    </row>
    <row r="42">
      <c r="A42" s="419"/>
      <c r="B42" s="429"/>
      <c r="C42" s="430"/>
      <c r="D42" s="430"/>
      <c r="E42" s="430"/>
      <c r="F42" s="10"/>
      <c r="G42" s="11"/>
      <c r="H42" s="12"/>
      <c r="I42" s="12"/>
      <c r="J42" s="12"/>
      <c r="K42" s="12"/>
      <c r="L42" s="13"/>
    </row>
    <row r="43">
      <c r="A43" s="419"/>
      <c r="B43" s="429" t="s">
        <v>976</v>
      </c>
      <c r="C43" s="430" t="s">
        <v>977</v>
      </c>
      <c r="D43" s="430"/>
      <c r="E43" s="430"/>
      <c r="F43" s="10" t="s">
        <v>955</v>
      </c>
      <c r="G43" s="11" t="s">
        <v>261</v>
      </c>
      <c r="H43" s="12"/>
      <c r="I43" s="12"/>
      <c r="J43" s="12"/>
      <c r="K43" s="12"/>
      <c r="L43" s="13"/>
    </row>
    <row r="44">
      <c r="A44" s="419"/>
      <c r="B44" s="429" t="s">
        <v>976</v>
      </c>
      <c r="C44" s="430" t="s">
        <v>978</v>
      </c>
      <c r="D44" s="430"/>
      <c r="E44" s="430"/>
      <c r="F44" s="10" t="s">
        <v>955</v>
      </c>
      <c r="G44" s="11" t="s">
        <v>261</v>
      </c>
      <c r="H44" s="12"/>
      <c r="I44" s="12"/>
      <c r="J44" s="12"/>
      <c r="K44" s="12"/>
      <c r="L44" s="13"/>
    </row>
    <row r="45">
      <c r="A45" s="419"/>
      <c r="B45" s="429" t="s">
        <v>976</v>
      </c>
      <c r="C45" s="18" t="s">
        <v>979</v>
      </c>
      <c r="D45" s="18"/>
      <c r="E45" s="18"/>
      <c r="F45" s="10" t="s">
        <v>955</v>
      </c>
      <c r="G45" s="11" t="s">
        <v>261</v>
      </c>
      <c r="H45" s="12"/>
      <c r="I45" s="12"/>
      <c r="J45" s="12"/>
      <c r="K45" s="12"/>
      <c r="L45" s="13"/>
    </row>
    <row r="46">
      <c r="A46" s="419"/>
      <c r="B46" s="429" t="s">
        <v>976</v>
      </c>
      <c r="C46" s="18" t="s">
        <v>980</v>
      </c>
      <c r="D46" s="18"/>
      <c r="E46" s="18"/>
      <c r="F46" s="10" t="s">
        <v>955</v>
      </c>
      <c r="G46" s="11" t="s">
        <v>261</v>
      </c>
      <c r="H46" s="12"/>
      <c r="I46" s="12"/>
      <c r="J46" s="12"/>
      <c r="K46" s="12"/>
      <c r="L46" s="13"/>
    </row>
    <row r="47">
      <c r="A47" s="419"/>
      <c r="B47" s="429"/>
      <c r="C47" s="430"/>
      <c r="D47" s="430"/>
      <c r="E47" s="430"/>
      <c r="F47" s="10"/>
      <c r="G47" s="11"/>
      <c r="H47" s="12"/>
      <c r="I47" s="12"/>
      <c r="J47" s="12"/>
      <c r="K47" s="12"/>
      <c r="L47" s="13"/>
    </row>
    <row r="48">
      <c r="A48" s="419"/>
      <c r="B48" s="429" t="s">
        <v>981</v>
      </c>
      <c r="C48" s="18" t="s">
        <v>982</v>
      </c>
      <c r="D48" s="18"/>
      <c r="E48" s="18"/>
      <c r="F48" s="10"/>
      <c r="G48" s="11"/>
      <c r="H48" s="12"/>
      <c r="I48" s="12"/>
      <c r="J48" s="12"/>
      <c r="K48" s="12"/>
      <c r="L48" s="13"/>
    </row>
    <row r="49">
      <c r="A49" s="8"/>
      <c r="B49" s="429" t="s">
        <v>981</v>
      </c>
      <c r="C49" s="11" t="s">
        <v>983</v>
      </c>
      <c r="D49" s="11"/>
      <c r="E49" s="11"/>
      <c r="F49" s="10"/>
      <c r="G49" s="11"/>
      <c r="H49" s="12"/>
      <c r="I49" s="12"/>
      <c r="J49" s="12"/>
      <c r="K49" s="12"/>
      <c r="L49" s="13"/>
    </row>
    <row r="50">
      <c r="A50" s="8"/>
      <c r="B50" s="429" t="s">
        <v>981</v>
      </c>
      <c r="C50" s="11" t="s">
        <v>984</v>
      </c>
      <c r="D50" s="11"/>
      <c r="E50" s="11"/>
      <c r="F50" s="10"/>
      <c r="G50" s="11"/>
      <c r="H50" s="12"/>
      <c r="I50" s="12"/>
      <c r="J50" s="12"/>
      <c r="K50" s="12"/>
      <c r="L50" s="13"/>
    </row>
    <row r="51">
      <c r="A51" s="8"/>
      <c r="B51" s="429" t="s">
        <v>981</v>
      </c>
      <c r="C51" s="11" t="s">
        <v>985</v>
      </c>
      <c r="D51" s="11"/>
      <c r="E51" s="11"/>
      <c r="F51" s="10"/>
      <c r="G51" s="11"/>
      <c r="H51" s="12"/>
      <c r="I51" s="12"/>
      <c r="J51" s="12"/>
      <c r="K51" s="12"/>
      <c r="L51" s="13"/>
    </row>
    <row r="52">
      <c r="A52" s="8"/>
      <c r="B52" s="15"/>
      <c r="C52" s="11"/>
      <c r="D52" s="11"/>
      <c r="E52" s="11"/>
      <c r="F52" s="10"/>
      <c r="G52" s="11"/>
      <c r="H52" s="12"/>
      <c r="I52" s="12"/>
      <c r="J52" s="12"/>
      <c r="K52" s="12"/>
      <c r="L52" s="13"/>
    </row>
    <row r="53">
      <c r="A53" s="8"/>
      <c r="B53" s="15"/>
      <c r="C53" s="11"/>
      <c r="D53" s="11"/>
      <c r="E53" s="11"/>
      <c r="F53" s="10"/>
      <c r="G53" s="11"/>
      <c r="H53" s="12"/>
      <c r="I53" s="12"/>
      <c r="J53" s="12"/>
      <c r="K53" s="12"/>
      <c r="L53" s="13"/>
    </row>
    <row r="54">
      <c r="A54" s="8"/>
      <c r="B54" s="15"/>
      <c r="C54" s="11"/>
      <c r="D54" s="11"/>
      <c r="E54" s="11"/>
      <c r="F54" s="10"/>
      <c r="G54" s="11"/>
      <c r="H54" s="12"/>
      <c r="I54" s="12"/>
      <c r="J54" s="12"/>
      <c r="K54" s="12"/>
      <c r="L54" s="13"/>
    </row>
    <row r="55">
      <c r="A55" s="8"/>
      <c r="B55" s="15"/>
      <c r="C55" s="11"/>
      <c r="D55" s="11"/>
      <c r="E55" s="11"/>
      <c r="F55" s="10"/>
      <c r="G55" s="11"/>
      <c r="H55" s="12"/>
      <c r="I55" s="12"/>
      <c r="J55" s="12"/>
      <c r="K55" s="12"/>
      <c r="L55" s="13"/>
    </row>
    <row r="56">
      <c r="A56" s="8"/>
      <c r="B56" s="15"/>
      <c r="C56" s="18"/>
      <c r="D56" s="18"/>
      <c r="E56" s="18"/>
      <c r="F56" s="10"/>
      <c r="G56" s="11"/>
      <c r="H56" s="12"/>
      <c r="I56" s="12"/>
      <c r="J56" s="12"/>
      <c r="K56" s="12"/>
      <c r="L56" s="13"/>
    </row>
    <row r="57">
      <c r="A57" s="8"/>
      <c r="B57" s="15"/>
      <c r="C57" s="18"/>
      <c r="D57" s="18"/>
      <c r="E57" s="18"/>
      <c r="F57" s="10"/>
      <c r="G57" s="11"/>
      <c r="H57" s="12"/>
      <c r="I57" s="12"/>
      <c r="J57" s="12"/>
      <c r="K57" s="12"/>
      <c r="L57" s="13"/>
    </row>
    <row r="58">
      <c r="A58" s="8"/>
      <c r="B58" s="15"/>
      <c r="C58" s="272"/>
      <c r="D58" s="272"/>
      <c r="E58" s="272"/>
      <c r="F58" s="10"/>
      <c r="G58" s="11"/>
      <c r="H58" s="12"/>
      <c r="I58" s="12"/>
      <c r="J58" s="12"/>
      <c r="K58" s="12"/>
      <c r="L58" s="13"/>
    </row>
    <row r="59">
      <c r="A59" s="20"/>
      <c r="B59" s="21"/>
      <c r="C59" s="22"/>
      <c r="D59" s="22"/>
      <c r="E59" s="22"/>
      <c r="F59" s="10"/>
      <c r="G59" s="11"/>
      <c r="H59" s="12"/>
      <c r="I59" s="12"/>
      <c r="J59" s="12"/>
      <c r="K59" s="12"/>
      <c r="L59" s="13"/>
    </row>
    <row r="60">
      <c r="A60" s="20"/>
      <c r="B60" s="21"/>
      <c r="C60" s="22"/>
      <c r="D60" s="22"/>
      <c r="E60" s="22"/>
      <c r="F60" s="10"/>
      <c r="G60" s="11"/>
      <c r="H60" s="12"/>
      <c r="I60" s="12"/>
      <c r="J60" s="12"/>
      <c r="K60" s="12"/>
      <c r="L60" s="13"/>
    </row>
    <row r="61">
      <c r="A61" s="20"/>
      <c r="B61" s="21"/>
      <c r="C61" s="22"/>
      <c r="D61" s="22"/>
      <c r="E61" s="22"/>
      <c r="F61" s="10"/>
      <c r="G61" s="11"/>
      <c r="H61" s="12"/>
      <c r="I61" s="12"/>
      <c r="J61" s="12"/>
      <c r="K61" s="12"/>
      <c r="L61" s="13"/>
    </row>
    <row r="62">
      <c r="A62" s="20"/>
      <c r="B62" s="21"/>
      <c r="C62" s="22"/>
      <c r="D62" s="22"/>
      <c r="E62" s="22"/>
      <c r="F62" s="10"/>
      <c r="G62" s="11"/>
      <c r="H62" s="12"/>
      <c r="I62" s="12"/>
      <c r="J62" s="12"/>
      <c r="K62" s="12"/>
      <c r="L62" s="13"/>
    </row>
    <row r="63">
      <c r="A63" s="20"/>
      <c r="B63" s="21"/>
      <c r="C63" s="22"/>
      <c r="D63" s="22"/>
      <c r="E63" s="22"/>
      <c r="F63" s="10"/>
      <c r="G63" s="11"/>
      <c r="H63" s="12"/>
      <c r="I63" s="12"/>
      <c r="J63" s="12"/>
      <c r="K63" s="12"/>
      <c r="L63" s="13"/>
    </row>
    <row r="64">
      <c r="A64" s="20"/>
      <c r="B64" s="21"/>
      <c r="C64" s="22"/>
      <c r="D64" s="22"/>
      <c r="E64" s="22"/>
      <c r="F64" s="10"/>
      <c r="G64" s="11"/>
      <c r="H64" s="12"/>
      <c r="I64" s="12"/>
      <c r="J64" s="12"/>
      <c r="K64" s="12"/>
      <c r="L64" s="13"/>
    </row>
    <row r="65">
      <c r="A65" s="20"/>
      <c r="B65" s="21"/>
      <c r="C65" s="22"/>
      <c r="D65" s="22"/>
      <c r="E65" s="22"/>
      <c r="F65" s="10"/>
      <c r="G65" s="11"/>
      <c r="H65" s="12"/>
      <c r="I65" s="12"/>
      <c r="J65" s="12"/>
      <c r="K65" s="12"/>
      <c r="L65" s="13"/>
    </row>
    <row r="66">
      <c r="A66" s="20"/>
      <c r="B66" s="21"/>
      <c r="C66" s="22"/>
      <c r="D66" s="22"/>
      <c r="E66" s="22"/>
      <c r="F66" s="10"/>
      <c r="G66" s="11"/>
      <c r="H66" s="12"/>
      <c r="I66" s="12"/>
      <c r="J66" s="12"/>
      <c r="K66" s="12"/>
      <c r="L66" s="13"/>
    </row>
    <row r="67">
      <c r="A67" s="23"/>
      <c r="B67" s="24"/>
      <c r="C67" s="25"/>
      <c r="D67" s="25"/>
      <c r="E67" s="25"/>
      <c r="F67" s="10"/>
      <c r="G67" s="11"/>
      <c r="H67" s="12"/>
      <c r="I67" s="12"/>
      <c r="J67" s="12"/>
      <c r="K67" s="12"/>
      <c r="L67" s="13"/>
    </row>
    <row r="68">
      <c r="A68" s="23"/>
      <c r="B68" s="24"/>
      <c r="C68" s="26"/>
      <c r="D68" s="26"/>
      <c r="E68" s="26"/>
      <c r="F68" s="10"/>
      <c r="G68" s="11"/>
      <c r="H68" s="12"/>
      <c r="I68" s="12"/>
      <c r="J68" s="12"/>
      <c r="K68" s="12"/>
      <c r="L68" s="13"/>
    </row>
    <row r="69">
      <c r="A69" s="23"/>
      <c r="B69" s="24"/>
      <c r="C69" s="25"/>
      <c r="D69" s="25"/>
      <c r="E69" s="25"/>
      <c r="F69" s="10"/>
      <c r="G69" s="11"/>
      <c r="H69" s="12"/>
      <c r="I69" s="12"/>
      <c r="J69" s="12"/>
      <c r="K69" s="12"/>
      <c r="L69" s="13"/>
    </row>
    <row r="70">
      <c r="A70" s="27"/>
      <c r="B70" s="28"/>
      <c r="C70" s="29"/>
      <c r="D70" s="29"/>
      <c r="E70" s="29"/>
      <c r="F70" s="10"/>
      <c r="G70" s="11"/>
      <c r="H70" s="12"/>
      <c r="I70" s="12"/>
      <c r="J70" s="12"/>
      <c r="K70" s="12"/>
      <c r="L70" s="13"/>
    </row>
    <row r="71">
      <c r="A71" s="27"/>
      <c r="B71" s="28"/>
      <c r="C71" s="29"/>
      <c r="D71" s="29"/>
      <c r="E71" s="29"/>
      <c r="F71" s="10"/>
      <c r="G71" s="11"/>
      <c r="H71" s="12"/>
      <c r="I71" s="12"/>
      <c r="J71" s="12"/>
      <c r="K71" s="12"/>
      <c r="L71" s="13"/>
    </row>
    <row r="72">
      <c r="A72" s="27"/>
      <c r="B72" s="28"/>
      <c r="C72" s="29"/>
      <c r="D72" s="29"/>
      <c r="E72" s="29"/>
      <c r="F72" s="10"/>
      <c r="G72" s="11"/>
      <c r="H72" s="12"/>
      <c r="I72" s="12"/>
      <c r="J72" s="12"/>
      <c r="K72" s="12"/>
      <c r="L72" s="13"/>
    </row>
    <row r="73">
      <c r="A73" s="27"/>
      <c r="B73" s="28"/>
      <c r="C73" s="29"/>
      <c r="D73" s="29"/>
      <c r="E73" s="29"/>
      <c r="F73" s="10"/>
      <c r="G73" s="11"/>
      <c r="H73" s="12"/>
      <c r="I73" s="12"/>
      <c r="J73" s="12"/>
      <c r="K73" s="12"/>
      <c r="L73" s="13"/>
    </row>
    <row r="74">
      <c r="A74" s="27"/>
      <c r="B74" s="28"/>
      <c r="C74" s="29"/>
      <c r="D74" s="29"/>
      <c r="E74" s="29"/>
      <c r="F74" s="10"/>
      <c r="G74" s="11"/>
      <c r="H74" s="12"/>
      <c r="I74" s="12"/>
      <c r="J74" s="12"/>
      <c r="K74" s="12"/>
      <c r="L74" s="13"/>
    </row>
    <row r="75">
      <c r="A75" s="27"/>
      <c r="B75" s="28"/>
      <c r="C75" s="29"/>
      <c r="D75" s="29"/>
      <c r="E75" s="29"/>
      <c r="F75" s="10"/>
      <c r="G75" s="11"/>
      <c r="H75" s="12"/>
      <c r="I75" s="12"/>
      <c r="J75" s="12"/>
      <c r="K75" s="12"/>
      <c r="L75" s="13"/>
    </row>
    <row r="76">
      <c r="A76" s="27"/>
      <c r="B76" s="28"/>
      <c r="C76" s="29"/>
      <c r="D76" s="29"/>
      <c r="E76" s="29"/>
      <c r="F76" s="10"/>
      <c r="G76" s="11"/>
      <c r="H76" s="12"/>
      <c r="I76" s="12"/>
      <c r="J76" s="12"/>
      <c r="K76" s="12"/>
      <c r="L76" s="13"/>
    </row>
    <row r="77">
      <c r="A77" s="27"/>
      <c r="B77" s="28"/>
      <c r="C77" s="29"/>
      <c r="D77" s="29"/>
      <c r="E77" s="29"/>
      <c r="F77" s="10"/>
      <c r="G77" s="11"/>
      <c r="H77" s="12"/>
      <c r="I77" s="12"/>
      <c r="J77" s="12"/>
      <c r="K77" s="12"/>
      <c r="L77" s="13"/>
    </row>
    <row r="78">
      <c r="A78" s="27"/>
      <c r="B78" s="28"/>
      <c r="C78" s="29"/>
      <c r="D78" s="29"/>
      <c r="E78" s="29"/>
      <c r="F78" s="10"/>
      <c r="G78" s="11"/>
      <c r="H78" s="12"/>
      <c r="I78" s="12"/>
      <c r="J78" s="12"/>
      <c r="K78" s="12"/>
      <c r="L78" s="13"/>
    </row>
    <row r="79">
      <c r="A79" s="30"/>
      <c r="B79" s="12"/>
      <c r="C79" s="31"/>
      <c r="D79" s="31"/>
      <c r="E79" s="31"/>
      <c r="F79" s="12"/>
      <c r="G79" s="31"/>
      <c r="H79" s="12"/>
      <c r="I79" s="12"/>
      <c r="J79" s="12"/>
      <c r="K79" s="12"/>
      <c r="L79" s="13"/>
    </row>
    <row r="80">
      <c r="A80" s="30"/>
      <c r="B80" s="12"/>
      <c r="C80" s="31"/>
      <c r="D80" s="31"/>
      <c r="E80" s="31"/>
      <c r="F80" s="12"/>
      <c r="G80" s="31"/>
      <c r="H80" s="12"/>
      <c r="I80" s="12"/>
      <c r="J80" s="12"/>
      <c r="K80" s="12"/>
      <c r="L80" s="13"/>
    </row>
    <row r="81">
      <c r="A81" s="30"/>
      <c r="B81" s="12"/>
      <c r="C81" s="31"/>
      <c r="D81" s="31"/>
      <c r="E81" s="31"/>
      <c r="F81" s="12"/>
      <c r="G81" s="31"/>
      <c r="H81" s="12"/>
      <c r="I81" s="12"/>
      <c r="J81" s="12"/>
      <c r="K81" s="12"/>
      <c r="L81" s="13"/>
    </row>
    <row r="82">
      <c r="A82" s="17" t="s">
        <v>57</v>
      </c>
      <c r="B82" s="12"/>
      <c r="C82" s="31"/>
      <c r="D82" s="31"/>
      <c r="E82" s="31"/>
      <c r="F82" s="12"/>
      <c r="G82" s="31"/>
      <c r="H82" s="12"/>
      <c r="I82" s="12"/>
      <c r="J82" s="12"/>
      <c r="K82" s="12"/>
      <c r="L82" s="13"/>
    </row>
    <row r="83">
      <c r="A83" s="17" t="s">
        <v>53</v>
      </c>
      <c r="B83" s="12"/>
      <c r="C83" s="34"/>
      <c r="D83" s="31"/>
      <c r="E83" s="31"/>
      <c r="F83" s="12"/>
      <c r="G83" s="31"/>
      <c r="H83" s="12"/>
      <c r="I83" s="12"/>
      <c r="J83" s="12"/>
      <c r="K83" s="12"/>
      <c r="L83" s="13"/>
    </row>
    <row r="84">
      <c r="A84" s="17" t="s">
        <v>58</v>
      </c>
      <c r="B84" s="12"/>
      <c r="C84" s="34"/>
      <c r="D84" s="31"/>
      <c r="E84" s="31"/>
      <c r="F84" s="12"/>
      <c r="G84" s="31"/>
      <c r="H84" s="12"/>
      <c r="I84" s="12"/>
      <c r="J84" s="12"/>
      <c r="K84" s="12"/>
      <c r="L84" s="13"/>
    </row>
    <row r="85">
      <c r="A85" s="32" t="s">
        <v>59</v>
      </c>
      <c r="B85" s="33"/>
      <c r="C85" s="34"/>
      <c r="D85" s="34"/>
      <c r="E85" s="34"/>
      <c r="F85" s="33"/>
      <c r="G85" s="34"/>
      <c r="H85" s="33"/>
      <c r="I85" s="33"/>
      <c r="J85" s="33"/>
      <c r="K85" s="33"/>
      <c r="L85" s="35"/>
    </row>
    <row r="86">
      <c r="C86" s="3"/>
      <c r="D86" s="3"/>
      <c r="E86" s="3"/>
      <c r="G86" s="3"/>
    </row>
    <row r="87">
      <c r="C87" s="3"/>
      <c r="D87" s="3"/>
      <c r="E87" s="3"/>
      <c r="G87" s="3"/>
    </row>
    <row r="88">
      <c r="C88" s="3"/>
      <c r="D88" s="3"/>
      <c r="E88" s="3"/>
      <c r="G88" s="3"/>
    </row>
    <row r="89">
      <c r="C89" s="3"/>
      <c r="D89" s="3"/>
      <c r="E89" s="3"/>
      <c r="G89" s="3"/>
    </row>
    <row r="90">
      <c r="C90" s="3"/>
      <c r="D90" s="3"/>
      <c r="E90" s="3"/>
      <c r="G90" s="36" t="s">
        <v>60</v>
      </c>
    </row>
    <row r="91">
      <c r="C91" s="3"/>
      <c r="D91" s="3"/>
      <c r="E91" s="3"/>
      <c r="G91" s="11" t="s">
        <v>61</v>
      </c>
    </row>
    <row r="92">
      <c r="C92" s="3"/>
      <c r="D92" s="3"/>
      <c r="E92" s="3"/>
      <c r="G92" s="11" t="s">
        <v>62</v>
      </c>
    </row>
    <row r="93">
      <c r="C93" s="3"/>
      <c r="D93" s="3"/>
      <c r="E93" s="3"/>
      <c r="G93" s="11" t="s">
        <v>63</v>
      </c>
    </row>
    <row r="94">
      <c r="C94" s="3"/>
      <c r="D94" s="3"/>
      <c r="E94" s="3"/>
      <c r="G94" s="3"/>
    </row>
    <row r="95">
      <c r="C95" s="3"/>
      <c r="D95" s="3"/>
      <c r="E95" s="3"/>
      <c r="G95" s="3"/>
    </row>
    <row r="96">
      <c r="C96" s="3"/>
      <c r="D96" s="3"/>
      <c r="E96" s="3"/>
      <c r="G96" s="3"/>
    </row>
    <row r="97">
      <c r="C97" s="3"/>
      <c r="D97" s="3"/>
      <c r="E97" s="3"/>
      <c r="G97" s="3"/>
    </row>
    <row r="98">
      <c r="C98" s="3"/>
      <c r="D98" s="3"/>
      <c r="E98" s="3"/>
      <c r="G98" s="3"/>
    </row>
    <row r="99">
      <c r="C99" s="3"/>
      <c r="D99" s="3"/>
      <c r="E99" s="3"/>
      <c r="G99" s="3"/>
    </row>
    <row r="100">
      <c r="C100" s="3"/>
      <c r="D100" s="3"/>
      <c r="E100" s="3"/>
      <c r="G100" s="3"/>
    </row>
    <row r="101">
      <c r="C101" s="3"/>
      <c r="D101" s="3"/>
      <c r="E101" s="3"/>
      <c r="G101" s="3"/>
    </row>
    <row r="102">
      <c r="C102" s="3"/>
      <c r="D102" s="3"/>
      <c r="E102" s="3"/>
      <c r="G102" s="3"/>
    </row>
    <row r="103">
      <c r="C103" s="3"/>
      <c r="D103" s="3"/>
      <c r="E103" s="3"/>
      <c r="G103" s="3"/>
    </row>
    <row r="104">
      <c r="C104" s="3"/>
      <c r="D104" s="3"/>
      <c r="E104" s="3"/>
      <c r="G104" s="3"/>
    </row>
    <row r="105">
      <c r="C105" s="3"/>
      <c r="D105" s="3"/>
      <c r="E105" s="3"/>
      <c r="G105" s="3"/>
    </row>
    <row r="106">
      <c r="C106" s="3"/>
      <c r="D106" s="3"/>
      <c r="E106" s="3"/>
      <c r="G106" s="3"/>
    </row>
    <row r="107">
      <c r="C107" s="3"/>
      <c r="D107" s="3"/>
      <c r="E107" s="3"/>
      <c r="G107" s="3"/>
    </row>
    <row r="108">
      <c r="C108" s="3"/>
      <c r="D108" s="3"/>
      <c r="E108" s="3"/>
      <c r="G108" s="3"/>
    </row>
    <row r="109">
      <c r="C109" s="3"/>
      <c r="D109" s="3"/>
      <c r="E109" s="3"/>
      <c r="G109" s="3"/>
    </row>
    <row r="110">
      <c r="C110" s="3"/>
      <c r="D110" s="3"/>
      <c r="E110" s="3"/>
      <c r="G110" s="3"/>
    </row>
    <row r="111">
      <c r="C111" s="3"/>
      <c r="D111" s="3"/>
      <c r="E111" s="3"/>
      <c r="G111" s="3"/>
    </row>
    <row r="112">
      <c r="C112" s="3"/>
      <c r="D112" s="3"/>
      <c r="E112" s="3"/>
      <c r="G112" s="3"/>
    </row>
    <row r="113">
      <c r="C113" s="3"/>
      <c r="D113" s="3"/>
      <c r="E113" s="3"/>
      <c r="G113" s="3"/>
    </row>
    <row r="114">
      <c r="C114" s="3"/>
      <c r="D114" s="3"/>
      <c r="E114" s="3"/>
      <c r="G114" s="3"/>
    </row>
    <row r="115">
      <c r="C115" s="3"/>
      <c r="D115" s="3"/>
      <c r="E115" s="3"/>
      <c r="G115" s="3"/>
    </row>
    <row r="116">
      <c r="C116" s="3"/>
      <c r="D116" s="3"/>
      <c r="E116" s="3"/>
      <c r="G116" s="3"/>
    </row>
    <row r="117">
      <c r="C117" s="3"/>
      <c r="D117" s="3"/>
      <c r="E117" s="3"/>
      <c r="G117" s="3"/>
    </row>
    <row r="118">
      <c r="C118" s="3"/>
      <c r="D118" s="3"/>
      <c r="E118" s="3"/>
      <c r="G118" s="3"/>
    </row>
    <row r="119">
      <c r="C119" s="3"/>
      <c r="D119" s="3"/>
      <c r="E119" s="3"/>
      <c r="G119" s="3"/>
    </row>
    <row r="120">
      <c r="C120" s="3"/>
      <c r="D120" s="3"/>
      <c r="E120" s="3"/>
      <c r="G120" s="3"/>
    </row>
    <row r="121">
      <c r="C121" s="3"/>
      <c r="D121" s="3"/>
      <c r="E121" s="3"/>
      <c r="G121" s="3"/>
    </row>
    <row r="122">
      <c r="C122" s="3"/>
      <c r="D122" s="3"/>
      <c r="E122" s="3"/>
      <c r="G122" s="3"/>
    </row>
    <row r="123">
      <c r="C123" s="3"/>
      <c r="D123" s="3"/>
      <c r="E123" s="3"/>
      <c r="G123" s="3"/>
    </row>
    <row r="124">
      <c r="C124" s="3"/>
      <c r="D124" s="3"/>
      <c r="E124" s="3"/>
      <c r="G124" s="3"/>
    </row>
    <row r="125">
      <c r="C125" s="3"/>
      <c r="D125" s="3"/>
      <c r="E125" s="3"/>
      <c r="G125" s="3"/>
    </row>
    <row r="126">
      <c r="C126" s="3"/>
      <c r="D126" s="3"/>
      <c r="E126" s="3"/>
      <c r="G126" s="3"/>
    </row>
    <row r="127">
      <c r="C127" s="3"/>
      <c r="D127" s="3"/>
      <c r="E127" s="3"/>
      <c r="G127" s="3"/>
    </row>
    <row r="128">
      <c r="C128" s="3"/>
      <c r="D128" s="3"/>
      <c r="E128" s="3"/>
      <c r="G128" s="3"/>
    </row>
    <row r="129">
      <c r="C129" s="3"/>
      <c r="D129" s="3"/>
      <c r="E129" s="3"/>
      <c r="G129" s="3"/>
    </row>
    <row r="130">
      <c r="C130" s="3"/>
      <c r="D130" s="3"/>
      <c r="E130" s="3"/>
      <c r="G130" s="3"/>
    </row>
    <row r="131">
      <c r="C131" s="3"/>
      <c r="D131" s="3"/>
      <c r="E131" s="3"/>
      <c r="G131" s="3"/>
    </row>
    <row r="132">
      <c r="C132" s="3"/>
      <c r="D132" s="3"/>
      <c r="E132" s="3"/>
      <c r="G132" s="3"/>
    </row>
    <row r="133">
      <c r="C133" s="3"/>
      <c r="D133" s="3"/>
      <c r="E133" s="3"/>
      <c r="G133" s="3"/>
    </row>
    <row r="134">
      <c r="C134" s="3"/>
      <c r="D134" s="3"/>
      <c r="E134" s="3"/>
      <c r="G134" s="3"/>
    </row>
    <row r="135">
      <c r="C135" s="3"/>
      <c r="D135" s="3"/>
      <c r="E135" s="3"/>
      <c r="G135" s="3"/>
    </row>
    <row r="136">
      <c r="C136" s="3"/>
      <c r="D136" s="3"/>
      <c r="E136" s="3"/>
      <c r="G136" s="3"/>
    </row>
    <row r="137">
      <c r="C137" s="3"/>
      <c r="D137" s="3"/>
      <c r="E137" s="3"/>
      <c r="G137" s="3"/>
    </row>
    <row r="138">
      <c r="C138" s="3"/>
      <c r="D138" s="3"/>
      <c r="E138" s="3"/>
      <c r="G138" s="3"/>
    </row>
    <row r="139">
      <c r="C139" s="3"/>
      <c r="D139" s="3"/>
      <c r="E139" s="3"/>
      <c r="G139" s="3"/>
    </row>
    <row r="140">
      <c r="C140" s="3"/>
      <c r="D140" s="3"/>
      <c r="E140" s="3"/>
      <c r="G140" s="3"/>
    </row>
    <row r="141">
      <c r="C141" s="3"/>
      <c r="D141" s="3"/>
      <c r="E141" s="3"/>
      <c r="G141" s="3"/>
    </row>
    <row r="142">
      <c r="C142" s="3"/>
      <c r="D142" s="3"/>
      <c r="E142" s="3"/>
      <c r="G142" s="3"/>
    </row>
    <row r="143">
      <c r="C143" s="3"/>
      <c r="D143" s="3"/>
      <c r="E143" s="3"/>
      <c r="G143" s="3"/>
    </row>
    <row r="144">
      <c r="C144" s="3"/>
      <c r="D144" s="3"/>
      <c r="E144" s="3"/>
      <c r="G144" s="3"/>
    </row>
    <row r="145">
      <c r="C145" s="3"/>
      <c r="D145" s="3"/>
      <c r="E145" s="3"/>
      <c r="G145" s="3"/>
    </row>
    <row r="146">
      <c r="C146" s="3"/>
      <c r="D146" s="3"/>
      <c r="E146" s="3"/>
      <c r="G146" s="3"/>
    </row>
    <row r="147">
      <c r="C147" s="3"/>
      <c r="D147" s="3"/>
      <c r="E147" s="3"/>
      <c r="G147" s="3"/>
    </row>
    <row r="148">
      <c r="C148" s="3"/>
      <c r="D148" s="3"/>
      <c r="E148" s="3"/>
      <c r="G148" s="3"/>
    </row>
    <row r="149">
      <c r="C149" s="3"/>
      <c r="D149" s="3"/>
      <c r="E149" s="3"/>
      <c r="G149" s="3"/>
    </row>
    <row r="150">
      <c r="C150" s="3"/>
      <c r="D150" s="3"/>
      <c r="E150" s="3"/>
      <c r="G150" s="3"/>
    </row>
    <row r="151">
      <c r="C151" s="3"/>
      <c r="D151" s="3"/>
      <c r="E151" s="3"/>
      <c r="G151" s="3"/>
    </row>
    <row r="152">
      <c r="C152" s="3"/>
      <c r="D152" s="3"/>
      <c r="E152" s="3"/>
      <c r="G152" s="3"/>
    </row>
    <row r="153">
      <c r="C153" s="3"/>
      <c r="D153" s="3"/>
      <c r="E153" s="3"/>
      <c r="G153" s="3"/>
    </row>
    <row r="154">
      <c r="C154" s="3"/>
      <c r="D154" s="3"/>
      <c r="E154" s="3"/>
      <c r="G154" s="3"/>
    </row>
    <row r="155">
      <c r="C155" s="3"/>
      <c r="D155" s="3"/>
      <c r="E155" s="3"/>
      <c r="G155" s="3"/>
    </row>
    <row r="156">
      <c r="C156" s="3"/>
      <c r="D156" s="3"/>
      <c r="E156" s="3"/>
      <c r="G156" s="3"/>
    </row>
    <row r="157">
      <c r="C157" s="3"/>
      <c r="D157" s="3"/>
      <c r="E157" s="3"/>
      <c r="G157" s="3"/>
    </row>
    <row r="158">
      <c r="C158" s="3"/>
      <c r="D158" s="3"/>
      <c r="E158" s="3"/>
      <c r="G158" s="3"/>
    </row>
    <row r="159">
      <c r="C159" s="3"/>
      <c r="D159" s="3"/>
      <c r="E159" s="3"/>
      <c r="G159" s="3"/>
    </row>
    <row r="160">
      <c r="C160" s="3"/>
      <c r="D160" s="3"/>
      <c r="E160" s="3"/>
      <c r="G160" s="3"/>
    </row>
    <row r="161">
      <c r="C161" s="3"/>
      <c r="D161" s="3"/>
      <c r="E161" s="3"/>
      <c r="G161" s="3"/>
    </row>
    <row r="162">
      <c r="C162" s="3"/>
      <c r="D162" s="3"/>
      <c r="E162" s="3"/>
      <c r="G162" s="3"/>
    </row>
    <row r="163">
      <c r="C163" s="3"/>
      <c r="D163" s="3"/>
      <c r="E163" s="3"/>
      <c r="G163" s="3"/>
    </row>
    <row r="164">
      <c r="C164" s="3"/>
      <c r="D164" s="3"/>
      <c r="E164" s="3"/>
      <c r="G164" s="3"/>
    </row>
    <row r="165">
      <c r="C165" s="3"/>
      <c r="D165" s="3"/>
      <c r="E165" s="3"/>
      <c r="G165" s="3"/>
    </row>
    <row r="166">
      <c r="C166" s="3"/>
      <c r="D166" s="3"/>
      <c r="E166" s="3"/>
      <c r="G166" s="3"/>
    </row>
    <row r="167">
      <c r="C167" s="3"/>
      <c r="D167" s="3"/>
      <c r="E167" s="3"/>
      <c r="G167" s="3"/>
    </row>
    <row r="168">
      <c r="C168" s="3"/>
      <c r="D168" s="3"/>
      <c r="E168" s="3"/>
      <c r="G168" s="3"/>
    </row>
    <row r="169">
      <c r="C169" s="3"/>
      <c r="D169" s="3"/>
      <c r="E169" s="3"/>
      <c r="G169" s="3"/>
    </row>
    <row r="170">
      <c r="C170" s="3"/>
      <c r="D170" s="3"/>
      <c r="E170" s="3"/>
      <c r="G170" s="3"/>
    </row>
    <row r="171">
      <c r="C171" s="3"/>
      <c r="D171" s="3"/>
      <c r="E171" s="3"/>
      <c r="G171" s="3"/>
    </row>
    <row r="172">
      <c r="C172" s="3"/>
      <c r="D172" s="3"/>
      <c r="E172" s="3"/>
      <c r="G172" s="3"/>
    </row>
    <row r="173">
      <c r="C173" s="3"/>
      <c r="D173" s="3"/>
      <c r="E173" s="3"/>
      <c r="G173" s="3"/>
    </row>
    <row r="174">
      <c r="C174" s="3"/>
      <c r="D174" s="3"/>
      <c r="E174" s="3"/>
      <c r="G174" s="3"/>
    </row>
    <row r="175">
      <c r="C175" s="3"/>
      <c r="D175" s="3"/>
      <c r="E175" s="3"/>
      <c r="G175" s="3"/>
    </row>
    <row r="176">
      <c r="C176" s="3"/>
      <c r="D176" s="3"/>
      <c r="E176" s="3"/>
      <c r="G176" s="3"/>
    </row>
    <row r="177">
      <c r="C177" s="3"/>
      <c r="D177" s="3"/>
      <c r="E177" s="3"/>
      <c r="G177" s="3"/>
    </row>
    <row r="178">
      <c r="C178" s="3"/>
      <c r="D178" s="3"/>
      <c r="E178" s="3"/>
      <c r="G178" s="3"/>
    </row>
    <row r="179">
      <c r="C179" s="3"/>
      <c r="D179" s="3"/>
      <c r="E179" s="3"/>
      <c r="G179" s="3"/>
    </row>
    <row r="180">
      <c r="C180" s="3"/>
      <c r="D180" s="3"/>
      <c r="E180" s="3"/>
      <c r="G180" s="3"/>
    </row>
    <row r="181">
      <c r="C181" s="3"/>
      <c r="D181" s="3"/>
      <c r="E181" s="3"/>
      <c r="G181" s="3"/>
    </row>
    <row r="182">
      <c r="C182" s="3"/>
      <c r="D182" s="3"/>
      <c r="E182" s="3"/>
      <c r="G182" s="3"/>
    </row>
    <row r="183">
      <c r="C183" s="3"/>
      <c r="D183" s="3"/>
      <c r="E183" s="3"/>
      <c r="G183" s="3"/>
    </row>
    <row r="184">
      <c r="C184" s="3"/>
      <c r="D184" s="3"/>
      <c r="E184" s="3"/>
      <c r="G184" s="3"/>
    </row>
    <row r="185">
      <c r="C185" s="3"/>
      <c r="D185" s="3"/>
      <c r="E185" s="3"/>
      <c r="G185" s="3"/>
    </row>
    <row r="186">
      <c r="C186" s="3"/>
      <c r="D186" s="3"/>
      <c r="E186" s="3"/>
      <c r="G186" s="3"/>
    </row>
    <row r="187">
      <c r="C187" s="3"/>
      <c r="D187" s="3"/>
      <c r="E187" s="3"/>
      <c r="G187" s="3"/>
    </row>
    <row r="188">
      <c r="C188" s="3"/>
      <c r="D188" s="3"/>
      <c r="E188" s="3"/>
      <c r="G188" s="3"/>
    </row>
    <row r="189">
      <c r="C189" s="3"/>
      <c r="D189" s="3"/>
      <c r="E189" s="3"/>
      <c r="G189" s="3"/>
    </row>
    <row r="190">
      <c r="C190" s="3"/>
      <c r="D190" s="3"/>
      <c r="E190" s="3"/>
      <c r="G190" s="3"/>
    </row>
    <row r="191">
      <c r="C191" s="3"/>
      <c r="D191" s="3"/>
      <c r="E191" s="3"/>
      <c r="G191" s="3"/>
    </row>
    <row r="192">
      <c r="C192" s="3"/>
      <c r="D192" s="3"/>
      <c r="E192" s="3"/>
      <c r="G192" s="3"/>
    </row>
    <row r="193">
      <c r="C193" s="3"/>
      <c r="D193" s="3"/>
      <c r="E193" s="3"/>
      <c r="G193" s="3"/>
    </row>
    <row r="194">
      <c r="C194" s="3"/>
      <c r="D194" s="3"/>
      <c r="E194" s="3"/>
      <c r="G194" s="3"/>
    </row>
    <row r="195">
      <c r="C195" s="3"/>
      <c r="D195" s="3"/>
      <c r="E195" s="3"/>
      <c r="G195" s="3"/>
    </row>
    <row r="196">
      <c r="C196" s="3"/>
      <c r="D196" s="3"/>
      <c r="E196" s="3"/>
      <c r="G196" s="3"/>
    </row>
    <row r="197">
      <c r="C197" s="3"/>
      <c r="D197" s="3"/>
      <c r="E197" s="3"/>
      <c r="G197" s="3"/>
    </row>
    <row r="198">
      <c r="C198" s="3"/>
      <c r="D198" s="3"/>
      <c r="E198" s="3"/>
      <c r="G198" s="3"/>
    </row>
    <row r="199">
      <c r="C199" s="3"/>
      <c r="D199" s="3"/>
      <c r="E199" s="3"/>
      <c r="G199" s="3"/>
    </row>
    <row r="200">
      <c r="C200" s="3"/>
      <c r="D200" s="3"/>
      <c r="E200" s="3"/>
      <c r="G200" s="3"/>
    </row>
    <row r="201">
      <c r="C201" s="3"/>
      <c r="D201" s="3"/>
      <c r="E201" s="3"/>
      <c r="G201" s="3"/>
    </row>
    <row r="202">
      <c r="C202" s="3"/>
      <c r="D202" s="3"/>
      <c r="E202" s="3"/>
      <c r="G202" s="3"/>
    </row>
    <row r="203">
      <c r="C203" s="3"/>
      <c r="D203" s="3"/>
      <c r="E203" s="3"/>
      <c r="G203" s="3"/>
    </row>
    <row r="204">
      <c r="C204" s="3"/>
      <c r="D204" s="3"/>
      <c r="E204" s="3"/>
      <c r="G204" s="3"/>
    </row>
    <row r="205">
      <c r="C205" s="3"/>
      <c r="D205" s="3"/>
      <c r="E205" s="3"/>
      <c r="G205" s="3"/>
    </row>
    <row r="206">
      <c r="C206" s="3"/>
      <c r="D206" s="3"/>
      <c r="E206" s="3"/>
      <c r="G206" s="3"/>
    </row>
    <row r="207">
      <c r="C207" s="3"/>
      <c r="D207" s="3"/>
      <c r="E207" s="3"/>
      <c r="G207" s="3"/>
    </row>
    <row r="208">
      <c r="C208" s="3"/>
      <c r="D208" s="3"/>
      <c r="E208" s="3"/>
      <c r="G208" s="3"/>
    </row>
    <row r="209">
      <c r="C209" s="3"/>
      <c r="D209" s="3"/>
      <c r="E209" s="3"/>
      <c r="G209" s="3"/>
    </row>
    <row r="210">
      <c r="C210" s="3"/>
      <c r="D210" s="3"/>
      <c r="E210" s="3"/>
      <c r="G210" s="3"/>
    </row>
    <row r="211">
      <c r="C211" s="3"/>
      <c r="D211" s="3"/>
      <c r="E211" s="3"/>
      <c r="G211" s="3"/>
    </row>
    <row r="212">
      <c r="C212" s="3"/>
      <c r="D212" s="3"/>
      <c r="E212" s="3"/>
      <c r="G212" s="3"/>
    </row>
    <row r="213">
      <c r="C213" s="3"/>
      <c r="D213" s="3"/>
      <c r="E213" s="3"/>
      <c r="G213" s="3"/>
    </row>
    <row r="214">
      <c r="C214" s="3"/>
      <c r="D214" s="3"/>
      <c r="E214" s="3"/>
      <c r="G214" s="3"/>
    </row>
    <row r="215">
      <c r="C215" s="3"/>
      <c r="D215" s="3"/>
      <c r="E215" s="3"/>
      <c r="G215" s="3"/>
    </row>
    <row r="216">
      <c r="C216" s="3"/>
      <c r="D216" s="3"/>
      <c r="E216" s="3"/>
      <c r="G216" s="3"/>
    </row>
    <row r="217">
      <c r="C217" s="3"/>
      <c r="D217" s="3"/>
      <c r="E217" s="3"/>
      <c r="G217" s="3"/>
    </row>
    <row r="218">
      <c r="C218" s="3"/>
      <c r="D218" s="3"/>
      <c r="E218" s="3"/>
      <c r="G218" s="3"/>
    </row>
    <row r="219">
      <c r="C219" s="3"/>
      <c r="D219" s="3"/>
      <c r="E219" s="3"/>
      <c r="G219" s="3"/>
    </row>
    <row r="220">
      <c r="C220" s="3"/>
      <c r="D220" s="3"/>
      <c r="E220" s="3"/>
      <c r="G220" s="3"/>
    </row>
    <row r="221">
      <c r="C221" s="3"/>
      <c r="D221" s="3"/>
      <c r="E221" s="3"/>
      <c r="G221" s="3"/>
    </row>
    <row r="222">
      <c r="C222" s="3"/>
      <c r="D222" s="3"/>
      <c r="E222" s="3"/>
      <c r="G222" s="3"/>
    </row>
    <row r="223">
      <c r="C223" s="3"/>
      <c r="D223" s="3"/>
      <c r="E223" s="3"/>
      <c r="G223" s="3"/>
    </row>
    <row r="224">
      <c r="C224" s="3"/>
      <c r="D224" s="3"/>
      <c r="E224" s="3"/>
      <c r="G224" s="3"/>
    </row>
    <row r="225">
      <c r="C225" s="3"/>
      <c r="D225" s="3"/>
      <c r="E225" s="3"/>
      <c r="G225" s="3"/>
    </row>
    <row r="226">
      <c r="C226" s="3"/>
      <c r="D226" s="3"/>
      <c r="E226" s="3"/>
      <c r="G226" s="3"/>
    </row>
    <row r="227">
      <c r="C227" s="3"/>
      <c r="D227" s="3"/>
      <c r="E227" s="3"/>
      <c r="G227" s="3"/>
    </row>
    <row r="228">
      <c r="C228" s="3"/>
      <c r="D228" s="3"/>
      <c r="E228" s="3"/>
      <c r="G228" s="3"/>
    </row>
    <row r="229">
      <c r="C229" s="3"/>
      <c r="D229" s="3"/>
      <c r="E229" s="3"/>
      <c r="G229" s="3"/>
    </row>
    <row r="230">
      <c r="C230" s="3"/>
      <c r="D230" s="3"/>
      <c r="E230" s="3"/>
      <c r="G230" s="3"/>
    </row>
    <row r="231">
      <c r="C231" s="3"/>
      <c r="D231" s="3"/>
      <c r="E231" s="3"/>
      <c r="G231" s="3"/>
    </row>
    <row r="232">
      <c r="C232" s="3"/>
      <c r="D232" s="3"/>
      <c r="E232" s="3"/>
      <c r="G232" s="3"/>
    </row>
    <row r="233">
      <c r="C233" s="3"/>
      <c r="D233" s="3"/>
      <c r="E233" s="3"/>
      <c r="G233" s="3"/>
    </row>
    <row r="234">
      <c r="C234" s="3"/>
      <c r="D234" s="3"/>
      <c r="E234" s="3"/>
      <c r="G234" s="3"/>
    </row>
    <row r="235">
      <c r="C235" s="3"/>
      <c r="D235" s="3"/>
      <c r="E235" s="3"/>
      <c r="G235" s="3"/>
    </row>
    <row r="236">
      <c r="C236" s="3"/>
      <c r="D236" s="3"/>
      <c r="E236" s="3"/>
      <c r="G236" s="3"/>
    </row>
    <row r="237">
      <c r="C237" s="3"/>
      <c r="D237" s="3"/>
      <c r="E237" s="3"/>
      <c r="G237" s="3"/>
    </row>
    <row r="238">
      <c r="C238" s="3"/>
      <c r="D238" s="3"/>
      <c r="E238" s="3"/>
      <c r="G238" s="3"/>
    </row>
    <row r="239">
      <c r="C239" s="3"/>
      <c r="D239" s="3"/>
      <c r="E239" s="3"/>
      <c r="G239" s="3"/>
    </row>
    <row r="240">
      <c r="C240" s="3"/>
      <c r="D240" s="3"/>
      <c r="E240" s="3"/>
      <c r="G240" s="3"/>
    </row>
    <row r="241">
      <c r="C241" s="3"/>
      <c r="D241" s="3"/>
      <c r="E241" s="3"/>
      <c r="G241" s="3"/>
    </row>
    <row r="242">
      <c r="C242" s="3"/>
      <c r="D242" s="3"/>
      <c r="E242" s="3"/>
      <c r="G242" s="3"/>
    </row>
    <row r="243">
      <c r="C243" s="3"/>
      <c r="D243" s="3"/>
      <c r="E243" s="3"/>
      <c r="G243" s="3"/>
    </row>
    <row r="244">
      <c r="C244" s="3"/>
      <c r="D244" s="3"/>
      <c r="E244" s="3"/>
      <c r="G244" s="3"/>
    </row>
    <row r="245">
      <c r="C245" s="3"/>
      <c r="D245" s="3"/>
      <c r="E245" s="3"/>
      <c r="G245" s="3"/>
    </row>
    <row r="246">
      <c r="C246" s="3"/>
      <c r="D246" s="3"/>
      <c r="E246" s="3"/>
      <c r="G246" s="3"/>
    </row>
    <row r="247">
      <c r="C247" s="3"/>
      <c r="D247" s="3"/>
      <c r="E247" s="3"/>
      <c r="G247" s="3"/>
    </row>
    <row r="248">
      <c r="C248" s="3"/>
      <c r="D248" s="3"/>
      <c r="E248" s="3"/>
      <c r="G248" s="3"/>
    </row>
    <row r="249">
      <c r="C249" s="3"/>
      <c r="D249" s="3"/>
      <c r="E249" s="3"/>
      <c r="G249" s="3"/>
    </row>
    <row r="250">
      <c r="C250" s="3"/>
      <c r="D250" s="3"/>
      <c r="E250" s="3"/>
      <c r="G250" s="3"/>
    </row>
    <row r="251">
      <c r="C251" s="3"/>
      <c r="D251" s="3"/>
      <c r="E251" s="3"/>
      <c r="G251" s="3"/>
    </row>
    <row r="252">
      <c r="C252" s="3"/>
      <c r="D252" s="3"/>
      <c r="E252" s="3"/>
      <c r="G252" s="3"/>
    </row>
    <row r="253">
      <c r="C253" s="3"/>
      <c r="D253" s="3"/>
      <c r="E253" s="3"/>
      <c r="G253" s="3"/>
    </row>
    <row r="254">
      <c r="C254" s="3"/>
      <c r="D254" s="3"/>
      <c r="E254" s="3"/>
      <c r="G254" s="3"/>
    </row>
    <row r="255">
      <c r="C255" s="3"/>
      <c r="D255" s="3"/>
      <c r="E255" s="3"/>
      <c r="G255" s="3"/>
    </row>
    <row r="256">
      <c r="C256" s="3"/>
      <c r="D256" s="3"/>
      <c r="E256" s="3"/>
      <c r="G256" s="3"/>
    </row>
    <row r="257">
      <c r="C257" s="3"/>
      <c r="D257" s="3"/>
      <c r="E257" s="3"/>
      <c r="G257" s="3"/>
    </row>
    <row r="258">
      <c r="C258" s="3"/>
      <c r="D258" s="3"/>
      <c r="E258" s="3"/>
      <c r="G258" s="3"/>
    </row>
    <row r="259">
      <c r="C259" s="3"/>
      <c r="D259" s="3"/>
      <c r="E259" s="3"/>
      <c r="G259" s="3"/>
    </row>
    <row r="260">
      <c r="C260" s="3"/>
      <c r="D260" s="3"/>
      <c r="E260" s="3"/>
      <c r="G260" s="3"/>
    </row>
    <row r="261">
      <c r="C261" s="3"/>
      <c r="D261" s="3"/>
      <c r="E261" s="3"/>
      <c r="G261" s="3"/>
    </row>
    <row r="262">
      <c r="C262" s="3"/>
      <c r="D262" s="3"/>
      <c r="E262" s="3"/>
      <c r="G262" s="3"/>
    </row>
    <row r="263">
      <c r="C263" s="3"/>
      <c r="D263" s="3"/>
      <c r="E263" s="3"/>
      <c r="G263" s="3"/>
    </row>
    <row r="264">
      <c r="C264" s="3"/>
      <c r="D264" s="3"/>
      <c r="E264" s="3"/>
      <c r="G264" s="3"/>
    </row>
    <row r="265">
      <c r="C265" s="3"/>
      <c r="D265" s="3"/>
      <c r="E265" s="3"/>
      <c r="G265" s="3"/>
    </row>
    <row r="266">
      <c r="C266" s="3"/>
      <c r="D266" s="3"/>
      <c r="E266" s="3"/>
      <c r="G266" s="3"/>
    </row>
    <row r="267">
      <c r="C267" s="3"/>
      <c r="D267" s="3"/>
      <c r="E267" s="3"/>
      <c r="G267" s="3"/>
    </row>
    <row r="268">
      <c r="C268" s="3"/>
      <c r="D268" s="3"/>
      <c r="E268" s="3"/>
      <c r="G268" s="3"/>
    </row>
    <row r="269">
      <c r="C269" s="3"/>
      <c r="D269" s="3"/>
      <c r="E269" s="3"/>
      <c r="G269" s="3"/>
    </row>
    <row r="270">
      <c r="C270" s="3"/>
      <c r="D270" s="3"/>
      <c r="E270" s="3"/>
      <c r="G270" s="3"/>
    </row>
    <row r="271">
      <c r="C271" s="3"/>
      <c r="D271" s="3"/>
      <c r="E271" s="3"/>
      <c r="G271" s="3"/>
    </row>
    <row r="272">
      <c r="C272" s="3"/>
      <c r="D272" s="3"/>
      <c r="E272" s="3"/>
      <c r="G272" s="3"/>
    </row>
    <row r="273">
      <c r="C273" s="3"/>
      <c r="D273" s="3"/>
      <c r="E273" s="3"/>
      <c r="G273" s="3"/>
    </row>
    <row r="274">
      <c r="C274" s="3"/>
      <c r="D274" s="3"/>
      <c r="E274" s="3"/>
      <c r="G274" s="3"/>
    </row>
    <row r="275">
      <c r="C275" s="3"/>
      <c r="D275" s="3"/>
      <c r="E275" s="3"/>
      <c r="G275" s="3"/>
    </row>
    <row r="276">
      <c r="C276" s="3"/>
      <c r="D276" s="3"/>
      <c r="E276" s="3"/>
      <c r="G276" s="3"/>
    </row>
    <row r="277">
      <c r="C277" s="3"/>
      <c r="D277" s="3"/>
      <c r="E277" s="3"/>
      <c r="G277" s="3"/>
    </row>
    <row r="278">
      <c r="C278" s="3"/>
      <c r="D278" s="3"/>
      <c r="E278" s="3"/>
      <c r="G278" s="3"/>
    </row>
    <row r="279">
      <c r="C279" s="3"/>
      <c r="D279" s="3"/>
      <c r="E279" s="3"/>
      <c r="G279" s="3"/>
    </row>
    <row r="280">
      <c r="C280" s="3"/>
      <c r="D280" s="3"/>
      <c r="E280" s="3"/>
      <c r="G280" s="3"/>
    </row>
    <row r="281">
      <c r="C281" s="3"/>
      <c r="D281" s="3"/>
      <c r="E281" s="3"/>
      <c r="G281" s="3"/>
    </row>
    <row r="282">
      <c r="C282" s="3"/>
      <c r="D282" s="3"/>
      <c r="E282" s="3"/>
      <c r="G282" s="3"/>
    </row>
    <row r="283">
      <c r="C283" s="3"/>
      <c r="D283" s="3"/>
      <c r="E283" s="3"/>
      <c r="G283" s="3"/>
    </row>
    <row r="284">
      <c r="C284" s="3"/>
      <c r="D284" s="3"/>
      <c r="E284" s="3"/>
      <c r="G284" s="3"/>
    </row>
    <row r="285">
      <c r="C285" s="3"/>
      <c r="D285" s="3"/>
      <c r="E285" s="3"/>
      <c r="G285" s="3"/>
    </row>
    <row r="286">
      <c r="C286" s="3"/>
      <c r="D286" s="3"/>
      <c r="E286" s="3"/>
      <c r="G286" s="3"/>
    </row>
    <row r="287">
      <c r="C287" s="3"/>
      <c r="D287" s="3"/>
      <c r="E287" s="3"/>
      <c r="G287" s="3"/>
    </row>
    <row r="288">
      <c r="C288" s="3"/>
      <c r="D288" s="3"/>
      <c r="E288" s="3"/>
      <c r="G288" s="3"/>
    </row>
    <row r="289">
      <c r="C289" s="3"/>
      <c r="D289" s="3"/>
      <c r="E289" s="3"/>
      <c r="G289" s="3"/>
    </row>
    <row r="290">
      <c r="C290" s="3"/>
      <c r="D290" s="3"/>
      <c r="E290" s="3"/>
      <c r="G290" s="3"/>
    </row>
    <row r="291">
      <c r="C291" s="3"/>
      <c r="D291" s="3"/>
      <c r="E291" s="3"/>
      <c r="G291" s="3"/>
    </row>
    <row r="292">
      <c r="C292" s="3"/>
      <c r="D292" s="3"/>
      <c r="E292" s="3"/>
      <c r="G292" s="3"/>
    </row>
    <row r="293">
      <c r="C293" s="3"/>
      <c r="D293" s="3"/>
      <c r="E293" s="3"/>
      <c r="G293" s="3"/>
    </row>
    <row r="294">
      <c r="C294" s="3"/>
      <c r="D294" s="3"/>
      <c r="E294" s="3"/>
      <c r="G294" s="3"/>
    </row>
    <row r="295">
      <c r="C295" s="3"/>
      <c r="D295" s="3"/>
      <c r="E295" s="3"/>
      <c r="G295" s="3"/>
    </row>
    <row r="296">
      <c r="C296" s="3"/>
      <c r="D296" s="3"/>
      <c r="E296" s="3"/>
      <c r="G296" s="3"/>
    </row>
    <row r="297">
      <c r="C297" s="3"/>
      <c r="D297" s="3"/>
      <c r="E297" s="3"/>
      <c r="G297" s="3"/>
    </row>
    <row r="298">
      <c r="C298" s="3"/>
      <c r="D298" s="3"/>
      <c r="E298" s="3"/>
      <c r="G298" s="3"/>
    </row>
    <row r="299">
      <c r="C299" s="3"/>
      <c r="D299" s="3"/>
      <c r="E299" s="3"/>
      <c r="G299" s="3"/>
    </row>
    <row r="300">
      <c r="C300" s="3"/>
      <c r="D300" s="3"/>
      <c r="E300" s="3"/>
      <c r="G300" s="3"/>
    </row>
    <row r="301">
      <c r="C301" s="3"/>
      <c r="D301" s="3"/>
      <c r="E301" s="3"/>
      <c r="G301" s="3"/>
    </row>
    <row r="302">
      <c r="C302" s="3"/>
      <c r="D302" s="3"/>
      <c r="E302" s="3"/>
      <c r="G302" s="3"/>
    </row>
    <row r="303">
      <c r="C303" s="3"/>
      <c r="D303" s="3"/>
      <c r="E303" s="3"/>
      <c r="G303" s="3"/>
    </row>
    <row r="304">
      <c r="C304" s="3"/>
      <c r="D304" s="3"/>
      <c r="E304" s="3"/>
      <c r="G304" s="3"/>
    </row>
    <row r="305">
      <c r="C305" s="3"/>
      <c r="D305" s="3"/>
      <c r="E305" s="3"/>
      <c r="G305" s="3"/>
    </row>
    <row r="306">
      <c r="C306" s="3"/>
      <c r="D306" s="3"/>
      <c r="E306" s="3"/>
      <c r="G306" s="3"/>
    </row>
    <row r="307">
      <c r="C307" s="3"/>
      <c r="D307" s="3"/>
      <c r="E307" s="3"/>
      <c r="G307" s="3"/>
    </row>
    <row r="308">
      <c r="C308" s="3"/>
      <c r="D308" s="3"/>
      <c r="E308" s="3"/>
      <c r="G308" s="3"/>
    </row>
    <row r="309">
      <c r="C309" s="3"/>
      <c r="D309" s="3"/>
      <c r="E309" s="3"/>
      <c r="G309" s="3"/>
    </row>
    <row r="310">
      <c r="C310" s="3"/>
      <c r="D310" s="3"/>
      <c r="E310" s="3"/>
      <c r="G310" s="3"/>
    </row>
    <row r="311">
      <c r="C311" s="3"/>
      <c r="D311" s="3"/>
      <c r="E311" s="3"/>
      <c r="G311" s="3"/>
    </row>
    <row r="312">
      <c r="C312" s="3"/>
      <c r="D312" s="3"/>
      <c r="E312" s="3"/>
      <c r="G312" s="3"/>
    </row>
    <row r="313">
      <c r="C313" s="3"/>
      <c r="D313" s="3"/>
      <c r="E313" s="3"/>
      <c r="G313" s="3"/>
    </row>
    <row r="314">
      <c r="C314" s="3"/>
      <c r="D314" s="3"/>
      <c r="E314" s="3"/>
      <c r="G314" s="3"/>
    </row>
    <row r="315">
      <c r="C315" s="3"/>
      <c r="D315" s="3"/>
      <c r="E315" s="3"/>
      <c r="G315" s="3"/>
    </row>
    <row r="316">
      <c r="C316" s="3"/>
      <c r="D316" s="3"/>
      <c r="E316" s="3"/>
      <c r="G316" s="3"/>
    </row>
    <row r="317">
      <c r="C317" s="3"/>
      <c r="D317" s="3"/>
      <c r="E317" s="3"/>
      <c r="G317" s="3"/>
    </row>
    <row r="318">
      <c r="C318" s="3"/>
      <c r="D318" s="3"/>
      <c r="E318" s="3"/>
      <c r="G318" s="3"/>
    </row>
    <row r="319">
      <c r="C319" s="3"/>
      <c r="D319" s="3"/>
      <c r="E319" s="3"/>
      <c r="G319" s="3"/>
    </row>
    <row r="320">
      <c r="C320" s="3"/>
      <c r="D320" s="3"/>
      <c r="E320" s="3"/>
      <c r="G320" s="3"/>
    </row>
    <row r="321">
      <c r="C321" s="3"/>
      <c r="D321" s="3"/>
      <c r="E321" s="3"/>
      <c r="G321" s="3"/>
    </row>
    <row r="322">
      <c r="C322" s="3"/>
      <c r="D322" s="3"/>
      <c r="E322" s="3"/>
      <c r="G322" s="3"/>
    </row>
    <row r="323">
      <c r="C323" s="3"/>
      <c r="D323" s="3"/>
      <c r="E323" s="3"/>
      <c r="G323" s="3"/>
    </row>
    <row r="324">
      <c r="C324" s="3"/>
      <c r="D324" s="3"/>
      <c r="E324" s="3"/>
      <c r="G324" s="3"/>
    </row>
    <row r="325">
      <c r="C325" s="3"/>
      <c r="D325" s="3"/>
      <c r="E325" s="3"/>
      <c r="G325" s="3"/>
    </row>
    <row r="326">
      <c r="C326" s="3"/>
      <c r="D326" s="3"/>
      <c r="E326" s="3"/>
      <c r="G326" s="3"/>
    </row>
    <row r="327">
      <c r="C327" s="3"/>
      <c r="D327" s="3"/>
      <c r="E327" s="3"/>
      <c r="G327" s="3"/>
    </row>
    <row r="328">
      <c r="C328" s="3"/>
      <c r="D328" s="3"/>
      <c r="E328" s="3"/>
      <c r="G328" s="3"/>
    </row>
    <row r="329">
      <c r="C329" s="3"/>
      <c r="D329" s="3"/>
      <c r="E329" s="3"/>
      <c r="G329" s="3"/>
    </row>
    <row r="330">
      <c r="C330" s="3"/>
      <c r="D330" s="3"/>
      <c r="E330" s="3"/>
      <c r="G330" s="3"/>
    </row>
    <row r="331">
      <c r="C331" s="3"/>
      <c r="D331" s="3"/>
      <c r="E331" s="3"/>
      <c r="G331" s="3"/>
    </row>
    <row r="332">
      <c r="C332" s="3"/>
      <c r="D332" s="3"/>
      <c r="E332" s="3"/>
      <c r="G332" s="3"/>
    </row>
    <row r="333">
      <c r="C333" s="3"/>
      <c r="D333" s="3"/>
      <c r="E333" s="3"/>
      <c r="G333" s="3"/>
    </row>
    <row r="334">
      <c r="C334" s="3"/>
      <c r="D334" s="3"/>
      <c r="E334" s="3"/>
      <c r="G334" s="3"/>
    </row>
    <row r="335">
      <c r="C335" s="3"/>
      <c r="D335" s="3"/>
      <c r="E335" s="3"/>
      <c r="G335" s="3"/>
    </row>
    <row r="336">
      <c r="C336" s="3"/>
      <c r="D336" s="3"/>
      <c r="E336" s="3"/>
      <c r="G336" s="3"/>
    </row>
    <row r="337">
      <c r="C337" s="3"/>
      <c r="D337" s="3"/>
      <c r="E337" s="3"/>
      <c r="G337" s="3"/>
    </row>
    <row r="338">
      <c r="C338" s="3"/>
      <c r="D338" s="3"/>
      <c r="E338" s="3"/>
      <c r="G338" s="3"/>
    </row>
    <row r="339">
      <c r="C339" s="3"/>
      <c r="D339" s="3"/>
      <c r="E339" s="3"/>
      <c r="G339" s="3"/>
    </row>
    <row r="340">
      <c r="C340" s="3"/>
      <c r="D340" s="3"/>
      <c r="E340" s="3"/>
      <c r="G340" s="3"/>
    </row>
    <row r="341">
      <c r="C341" s="3"/>
      <c r="D341" s="3"/>
      <c r="E341" s="3"/>
      <c r="G341" s="3"/>
    </row>
    <row r="342">
      <c r="C342" s="3"/>
      <c r="D342" s="3"/>
      <c r="E342" s="3"/>
      <c r="G342" s="3"/>
    </row>
    <row r="343">
      <c r="C343" s="3"/>
      <c r="D343" s="3"/>
      <c r="E343" s="3"/>
      <c r="G343" s="3"/>
    </row>
    <row r="344">
      <c r="C344" s="3"/>
      <c r="D344" s="3"/>
      <c r="E344" s="3"/>
      <c r="G344" s="3"/>
    </row>
    <row r="345">
      <c r="C345" s="3"/>
      <c r="D345" s="3"/>
      <c r="E345" s="3"/>
      <c r="G345" s="3"/>
    </row>
    <row r="346">
      <c r="C346" s="3"/>
      <c r="D346" s="3"/>
      <c r="E346" s="3"/>
      <c r="G346" s="3"/>
    </row>
    <row r="347">
      <c r="C347" s="3"/>
      <c r="D347" s="3"/>
      <c r="E347" s="3"/>
      <c r="G347" s="3"/>
    </row>
    <row r="348">
      <c r="C348" s="3"/>
      <c r="D348" s="3"/>
      <c r="E348" s="3"/>
      <c r="G348" s="3"/>
    </row>
    <row r="349">
      <c r="C349" s="3"/>
      <c r="D349" s="3"/>
      <c r="E349" s="3"/>
      <c r="G349" s="3"/>
    </row>
    <row r="350">
      <c r="C350" s="3"/>
      <c r="D350" s="3"/>
      <c r="E350" s="3"/>
      <c r="G350" s="3"/>
    </row>
    <row r="351">
      <c r="C351" s="3"/>
      <c r="D351" s="3"/>
      <c r="E351" s="3"/>
      <c r="G351" s="3"/>
    </row>
    <row r="352">
      <c r="C352" s="3"/>
      <c r="D352" s="3"/>
      <c r="E352" s="3"/>
      <c r="G352" s="3"/>
    </row>
    <row r="353">
      <c r="C353" s="3"/>
      <c r="D353" s="3"/>
      <c r="E353" s="3"/>
      <c r="G353" s="3"/>
    </row>
    <row r="354">
      <c r="C354" s="3"/>
      <c r="D354" s="3"/>
      <c r="E354" s="3"/>
      <c r="G354" s="3"/>
    </row>
    <row r="355">
      <c r="C355" s="3"/>
      <c r="D355" s="3"/>
      <c r="E355" s="3"/>
      <c r="G355" s="3"/>
    </row>
    <row r="356">
      <c r="C356" s="3"/>
      <c r="D356" s="3"/>
      <c r="E356" s="3"/>
      <c r="G356" s="3"/>
    </row>
    <row r="357">
      <c r="C357" s="3"/>
      <c r="D357" s="3"/>
      <c r="E357" s="3"/>
      <c r="G357" s="3"/>
    </row>
    <row r="358">
      <c r="C358" s="3"/>
      <c r="D358" s="3"/>
      <c r="E358" s="3"/>
      <c r="G358" s="3"/>
    </row>
    <row r="359">
      <c r="C359" s="3"/>
      <c r="D359" s="3"/>
      <c r="E359" s="3"/>
      <c r="G359" s="3"/>
    </row>
    <row r="360">
      <c r="C360" s="3"/>
      <c r="D360" s="3"/>
      <c r="E360" s="3"/>
      <c r="G360" s="3"/>
    </row>
    <row r="361">
      <c r="C361" s="3"/>
      <c r="D361" s="3"/>
      <c r="E361" s="3"/>
      <c r="G361" s="3"/>
    </row>
    <row r="362">
      <c r="C362" s="3"/>
      <c r="D362" s="3"/>
      <c r="E362" s="3"/>
      <c r="G362" s="3"/>
    </row>
    <row r="363">
      <c r="C363" s="3"/>
      <c r="D363" s="3"/>
      <c r="E363" s="3"/>
      <c r="G363" s="3"/>
    </row>
    <row r="364">
      <c r="C364" s="3"/>
      <c r="D364" s="3"/>
      <c r="E364" s="3"/>
      <c r="G364" s="3"/>
    </row>
    <row r="365">
      <c r="C365" s="3"/>
      <c r="D365" s="3"/>
      <c r="E365" s="3"/>
      <c r="G365" s="3"/>
    </row>
    <row r="366">
      <c r="C366" s="3"/>
      <c r="D366" s="3"/>
      <c r="E366" s="3"/>
      <c r="G366" s="3"/>
    </row>
    <row r="367">
      <c r="C367" s="3"/>
      <c r="D367" s="3"/>
      <c r="E367" s="3"/>
      <c r="G367" s="3"/>
    </row>
    <row r="368">
      <c r="C368" s="3"/>
      <c r="D368" s="3"/>
      <c r="E368" s="3"/>
      <c r="G368" s="3"/>
    </row>
    <row r="369">
      <c r="C369" s="3"/>
      <c r="D369" s="3"/>
      <c r="E369" s="3"/>
      <c r="G369" s="3"/>
    </row>
    <row r="370">
      <c r="C370" s="3"/>
      <c r="D370" s="3"/>
      <c r="E370" s="3"/>
      <c r="G370" s="3"/>
    </row>
    <row r="371">
      <c r="C371" s="3"/>
      <c r="D371" s="3"/>
      <c r="E371" s="3"/>
      <c r="G371" s="3"/>
    </row>
    <row r="372">
      <c r="C372" s="3"/>
      <c r="D372" s="3"/>
      <c r="E372" s="3"/>
      <c r="G372" s="3"/>
    </row>
    <row r="373">
      <c r="C373" s="3"/>
      <c r="D373" s="3"/>
      <c r="E373" s="3"/>
      <c r="G373" s="3"/>
    </row>
    <row r="374">
      <c r="C374" s="3"/>
      <c r="D374" s="3"/>
      <c r="E374" s="3"/>
      <c r="G374" s="3"/>
    </row>
    <row r="375">
      <c r="C375" s="3"/>
      <c r="D375" s="3"/>
      <c r="E375" s="3"/>
      <c r="G375" s="3"/>
    </row>
    <row r="376">
      <c r="C376" s="3"/>
      <c r="D376" s="3"/>
      <c r="E376" s="3"/>
      <c r="G376" s="3"/>
    </row>
    <row r="377">
      <c r="C377" s="3"/>
      <c r="D377" s="3"/>
      <c r="E377" s="3"/>
      <c r="G377" s="3"/>
    </row>
    <row r="378">
      <c r="C378" s="3"/>
      <c r="D378" s="3"/>
      <c r="E378" s="3"/>
      <c r="G378" s="3"/>
    </row>
    <row r="379">
      <c r="C379" s="3"/>
      <c r="D379" s="3"/>
      <c r="E379" s="3"/>
      <c r="G379" s="3"/>
    </row>
    <row r="380">
      <c r="C380" s="3"/>
      <c r="D380" s="3"/>
      <c r="E380" s="3"/>
      <c r="G380" s="3"/>
    </row>
    <row r="381">
      <c r="C381" s="3"/>
      <c r="D381" s="3"/>
      <c r="E381" s="3"/>
      <c r="G381" s="3"/>
    </row>
    <row r="382">
      <c r="C382" s="3"/>
      <c r="D382" s="3"/>
      <c r="E382" s="3"/>
      <c r="G382" s="3"/>
    </row>
    <row r="383">
      <c r="C383" s="3"/>
      <c r="D383" s="3"/>
      <c r="E383" s="3"/>
      <c r="G383" s="3"/>
    </row>
    <row r="384">
      <c r="C384" s="3"/>
      <c r="D384" s="3"/>
      <c r="E384" s="3"/>
      <c r="G384" s="3"/>
    </row>
    <row r="385">
      <c r="C385" s="3"/>
      <c r="D385" s="3"/>
      <c r="E385" s="3"/>
      <c r="G385" s="3"/>
    </row>
    <row r="386">
      <c r="C386" s="3"/>
      <c r="D386" s="3"/>
      <c r="E386" s="3"/>
      <c r="G386" s="3"/>
    </row>
    <row r="387">
      <c r="C387" s="3"/>
      <c r="D387" s="3"/>
      <c r="E387" s="3"/>
      <c r="G387" s="3"/>
    </row>
    <row r="388">
      <c r="C388" s="3"/>
      <c r="D388" s="3"/>
      <c r="E388" s="3"/>
      <c r="G388" s="3"/>
    </row>
    <row r="389">
      <c r="C389" s="3"/>
      <c r="D389" s="3"/>
      <c r="E389" s="3"/>
      <c r="G389" s="3"/>
    </row>
    <row r="390">
      <c r="C390" s="3"/>
      <c r="D390" s="3"/>
      <c r="E390" s="3"/>
      <c r="G390" s="3"/>
    </row>
    <row r="391">
      <c r="C391" s="3"/>
      <c r="D391" s="3"/>
      <c r="E391" s="3"/>
      <c r="G391" s="3"/>
    </row>
    <row r="392">
      <c r="C392" s="3"/>
      <c r="D392" s="3"/>
      <c r="E392" s="3"/>
      <c r="G392" s="3"/>
    </row>
    <row r="393">
      <c r="C393" s="3"/>
      <c r="D393" s="3"/>
      <c r="E393" s="3"/>
      <c r="G393" s="3"/>
    </row>
    <row r="394">
      <c r="C394" s="3"/>
      <c r="D394" s="3"/>
      <c r="E394" s="3"/>
      <c r="G394" s="3"/>
    </row>
    <row r="395">
      <c r="C395" s="3"/>
      <c r="D395" s="3"/>
      <c r="E395" s="3"/>
      <c r="G395" s="3"/>
    </row>
    <row r="396">
      <c r="C396" s="3"/>
      <c r="D396" s="3"/>
      <c r="E396" s="3"/>
      <c r="G396" s="3"/>
    </row>
    <row r="397">
      <c r="C397" s="3"/>
      <c r="D397" s="3"/>
      <c r="E397" s="3"/>
      <c r="G397" s="3"/>
    </row>
    <row r="398">
      <c r="C398" s="3"/>
      <c r="D398" s="3"/>
      <c r="E398" s="3"/>
      <c r="G398" s="3"/>
    </row>
    <row r="399">
      <c r="C399" s="3"/>
      <c r="D399" s="3"/>
      <c r="E399" s="3"/>
      <c r="G399" s="3"/>
    </row>
    <row r="400">
      <c r="C400" s="3"/>
      <c r="D400" s="3"/>
      <c r="E400" s="3"/>
      <c r="G400" s="3"/>
    </row>
    <row r="401">
      <c r="C401" s="3"/>
      <c r="D401" s="3"/>
      <c r="E401" s="3"/>
      <c r="G401" s="3"/>
    </row>
    <row r="402">
      <c r="C402" s="3"/>
      <c r="D402" s="3"/>
      <c r="E402" s="3"/>
      <c r="G402" s="3"/>
    </row>
    <row r="403">
      <c r="C403" s="3"/>
      <c r="D403" s="3"/>
      <c r="E403" s="3"/>
      <c r="G403" s="3"/>
    </row>
    <row r="404">
      <c r="C404" s="3"/>
      <c r="D404" s="3"/>
      <c r="E404" s="3"/>
      <c r="G404" s="3"/>
    </row>
    <row r="405">
      <c r="C405" s="3"/>
      <c r="D405" s="3"/>
      <c r="E405" s="3"/>
      <c r="G405" s="3"/>
    </row>
    <row r="406">
      <c r="C406" s="3"/>
      <c r="D406" s="3"/>
      <c r="E406" s="3"/>
      <c r="G406" s="3"/>
    </row>
    <row r="407">
      <c r="C407" s="3"/>
      <c r="D407" s="3"/>
      <c r="E407" s="3"/>
      <c r="G407" s="3"/>
    </row>
    <row r="408">
      <c r="C408" s="3"/>
      <c r="D408" s="3"/>
      <c r="E408" s="3"/>
      <c r="G408" s="3"/>
    </row>
    <row r="409">
      <c r="C409" s="3"/>
      <c r="D409" s="3"/>
      <c r="E409" s="3"/>
      <c r="G409" s="3"/>
    </row>
    <row r="410">
      <c r="C410" s="3"/>
      <c r="D410" s="3"/>
      <c r="E410" s="3"/>
      <c r="G410" s="3"/>
    </row>
    <row r="411">
      <c r="C411" s="3"/>
      <c r="D411" s="3"/>
      <c r="E411" s="3"/>
      <c r="G411" s="3"/>
    </row>
    <row r="412">
      <c r="C412" s="3"/>
      <c r="D412" s="3"/>
      <c r="E412" s="3"/>
      <c r="G412" s="3"/>
    </row>
    <row r="413">
      <c r="C413" s="3"/>
      <c r="D413" s="3"/>
      <c r="E413" s="3"/>
      <c r="G413" s="3"/>
    </row>
    <row r="414">
      <c r="C414" s="3"/>
      <c r="D414" s="3"/>
      <c r="E414" s="3"/>
      <c r="G414" s="3"/>
    </row>
    <row r="415">
      <c r="C415" s="3"/>
      <c r="D415" s="3"/>
      <c r="E415" s="3"/>
      <c r="G415" s="3"/>
    </row>
    <row r="416">
      <c r="C416" s="3"/>
      <c r="D416" s="3"/>
      <c r="E416" s="3"/>
      <c r="G416" s="3"/>
    </row>
    <row r="417">
      <c r="C417" s="3"/>
      <c r="D417" s="3"/>
      <c r="E417" s="3"/>
      <c r="G417" s="3"/>
    </row>
    <row r="418">
      <c r="C418" s="3"/>
      <c r="D418" s="3"/>
      <c r="E418" s="3"/>
      <c r="G418" s="3"/>
    </row>
    <row r="419">
      <c r="C419" s="3"/>
      <c r="D419" s="3"/>
      <c r="E419" s="3"/>
      <c r="G419" s="3"/>
    </row>
    <row r="420">
      <c r="C420" s="3"/>
      <c r="D420" s="3"/>
      <c r="E420" s="3"/>
      <c r="G420" s="3"/>
    </row>
    <row r="421">
      <c r="C421" s="3"/>
      <c r="D421" s="3"/>
      <c r="E421" s="3"/>
      <c r="G421" s="3"/>
    </row>
    <row r="422">
      <c r="C422" s="3"/>
      <c r="D422" s="3"/>
      <c r="E422" s="3"/>
      <c r="G422" s="3"/>
    </row>
    <row r="423">
      <c r="C423" s="3"/>
      <c r="D423" s="3"/>
      <c r="E423" s="3"/>
      <c r="G423" s="3"/>
    </row>
    <row r="424">
      <c r="C424" s="3"/>
      <c r="D424" s="3"/>
      <c r="E424" s="3"/>
      <c r="G424" s="3"/>
    </row>
    <row r="425">
      <c r="C425" s="3"/>
      <c r="D425" s="3"/>
      <c r="E425" s="3"/>
      <c r="G425" s="3"/>
    </row>
    <row r="426">
      <c r="C426" s="3"/>
      <c r="D426" s="3"/>
      <c r="E426" s="3"/>
      <c r="G426" s="3"/>
    </row>
    <row r="427">
      <c r="C427" s="3"/>
      <c r="D427" s="3"/>
      <c r="E427" s="3"/>
      <c r="G427" s="3"/>
    </row>
    <row r="428">
      <c r="C428" s="3"/>
      <c r="D428" s="3"/>
      <c r="E428" s="3"/>
      <c r="G428" s="3"/>
    </row>
    <row r="429">
      <c r="C429" s="3"/>
      <c r="D429" s="3"/>
      <c r="E429" s="3"/>
      <c r="G429" s="3"/>
    </row>
    <row r="430">
      <c r="C430" s="3"/>
      <c r="D430" s="3"/>
      <c r="E430" s="3"/>
      <c r="G430" s="3"/>
    </row>
    <row r="431">
      <c r="C431" s="3"/>
      <c r="D431" s="3"/>
      <c r="E431" s="3"/>
      <c r="G431" s="3"/>
    </row>
    <row r="432">
      <c r="C432" s="3"/>
      <c r="D432" s="3"/>
      <c r="E432" s="3"/>
      <c r="G432" s="3"/>
    </row>
    <row r="433">
      <c r="C433" s="3"/>
      <c r="D433" s="3"/>
      <c r="E433" s="3"/>
      <c r="G433" s="3"/>
    </row>
    <row r="434">
      <c r="C434" s="3"/>
      <c r="D434" s="3"/>
      <c r="E434" s="3"/>
      <c r="G434" s="3"/>
    </row>
    <row r="435">
      <c r="C435" s="3"/>
      <c r="D435" s="3"/>
      <c r="E435" s="3"/>
      <c r="G435" s="3"/>
    </row>
    <row r="436">
      <c r="C436" s="3"/>
      <c r="D436" s="3"/>
      <c r="E436" s="3"/>
      <c r="G436" s="3"/>
    </row>
    <row r="437">
      <c r="C437" s="3"/>
      <c r="D437" s="3"/>
      <c r="E437" s="3"/>
      <c r="G437" s="3"/>
    </row>
    <row r="438">
      <c r="C438" s="3"/>
      <c r="D438" s="3"/>
      <c r="E438" s="3"/>
      <c r="G438" s="3"/>
    </row>
    <row r="439">
      <c r="C439" s="3"/>
      <c r="D439" s="3"/>
      <c r="E439" s="3"/>
      <c r="G439" s="3"/>
    </row>
    <row r="440">
      <c r="C440" s="3"/>
      <c r="D440" s="3"/>
      <c r="E440" s="3"/>
      <c r="G440" s="3"/>
    </row>
    <row r="441">
      <c r="C441" s="3"/>
      <c r="D441" s="3"/>
      <c r="E441" s="3"/>
      <c r="G441" s="3"/>
    </row>
    <row r="442">
      <c r="C442" s="3"/>
      <c r="D442" s="3"/>
      <c r="E442" s="3"/>
      <c r="G442" s="3"/>
    </row>
    <row r="443">
      <c r="C443" s="3"/>
      <c r="D443" s="3"/>
      <c r="E443" s="3"/>
      <c r="G443" s="3"/>
    </row>
    <row r="444">
      <c r="C444" s="3"/>
      <c r="D444" s="3"/>
      <c r="E444" s="3"/>
      <c r="G444" s="3"/>
    </row>
    <row r="445">
      <c r="C445" s="3"/>
      <c r="D445" s="3"/>
      <c r="E445" s="3"/>
      <c r="G445" s="3"/>
    </row>
    <row r="446">
      <c r="C446" s="3"/>
      <c r="D446" s="3"/>
      <c r="E446" s="3"/>
      <c r="G446" s="3"/>
    </row>
    <row r="447">
      <c r="C447" s="3"/>
      <c r="D447" s="3"/>
      <c r="E447" s="3"/>
      <c r="G447" s="3"/>
    </row>
    <row r="448">
      <c r="C448" s="3"/>
      <c r="D448" s="3"/>
      <c r="E448" s="3"/>
      <c r="G448" s="3"/>
    </row>
    <row r="449">
      <c r="C449" s="3"/>
      <c r="D449" s="3"/>
      <c r="E449" s="3"/>
      <c r="G449" s="3"/>
    </row>
    <row r="450">
      <c r="C450" s="3"/>
      <c r="D450" s="3"/>
      <c r="E450" s="3"/>
      <c r="G450" s="3"/>
    </row>
    <row r="451">
      <c r="C451" s="3"/>
      <c r="D451" s="3"/>
      <c r="E451" s="3"/>
      <c r="G451" s="3"/>
    </row>
    <row r="452">
      <c r="C452" s="3"/>
      <c r="D452" s="3"/>
      <c r="E452" s="3"/>
      <c r="G452" s="3"/>
    </row>
    <row r="453">
      <c r="C453" s="3"/>
      <c r="D453" s="3"/>
      <c r="E453" s="3"/>
      <c r="G453" s="3"/>
    </row>
    <row r="454">
      <c r="C454" s="3"/>
      <c r="D454" s="3"/>
      <c r="E454" s="3"/>
      <c r="G454" s="3"/>
    </row>
    <row r="455">
      <c r="C455" s="3"/>
      <c r="D455" s="3"/>
      <c r="E455" s="3"/>
      <c r="G455" s="3"/>
    </row>
    <row r="456">
      <c r="C456" s="3"/>
      <c r="D456" s="3"/>
      <c r="E456" s="3"/>
      <c r="G456" s="3"/>
    </row>
    <row r="457">
      <c r="C457" s="3"/>
      <c r="D457" s="3"/>
      <c r="E457" s="3"/>
      <c r="G457" s="3"/>
    </row>
    <row r="458">
      <c r="C458" s="3"/>
      <c r="D458" s="3"/>
      <c r="E458" s="3"/>
      <c r="G458" s="3"/>
    </row>
    <row r="459">
      <c r="C459" s="3"/>
      <c r="D459" s="3"/>
      <c r="E459" s="3"/>
      <c r="G459" s="3"/>
    </row>
    <row r="460">
      <c r="C460" s="3"/>
      <c r="D460" s="3"/>
      <c r="E460" s="3"/>
      <c r="G460" s="3"/>
    </row>
    <row r="461">
      <c r="C461" s="3"/>
      <c r="D461" s="3"/>
      <c r="E461" s="3"/>
      <c r="G461" s="3"/>
    </row>
    <row r="462">
      <c r="C462" s="3"/>
      <c r="D462" s="3"/>
      <c r="E462" s="3"/>
      <c r="G462" s="3"/>
    </row>
    <row r="463">
      <c r="C463" s="3"/>
      <c r="D463" s="3"/>
      <c r="E463" s="3"/>
      <c r="G463" s="3"/>
    </row>
    <row r="464">
      <c r="C464" s="3"/>
      <c r="D464" s="3"/>
      <c r="E464" s="3"/>
      <c r="G464" s="3"/>
    </row>
    <row r="465">
      <c r="C465" s="3"/>
      <c r="D465" s="3"/>
      <c r="E465" s="3"/>
      <c r="G465" s="3"/>
    </row>
    <row r="466">
      <c r="C466" s="3"/>
      <c r="D466" s="3"/>
      <c r="E466" s="3"/>
      <c r="G466" s="3"/>
    </row>
    <row r="467">
      <c r="C467" s="3"/>
      <c r="D467" s="3"/>
      <c r="E467" s="3"/>
      <c r="G467" s="3"/>
    </row>
    <row r="468">
      <c r="C468" s="3"/>
      <c r="D468" s="3"/>
      <c r="E468" s="3"/>
      <c r="G468" s="3"/>
    </row>
    <row r="469">
      <c r="C469" s="3"/>
      <c r="D469" s="3"/>
      <c r="E469" s="3"/>
      <c r="G469" s="3"/>
    </row>
    <row r="470">
      <c r="C470" s="3"/>
      <c r="D470" s="3"/>
      <c r="E470" s="3"/>
      <c r="G470" s="3"/>
    </row>
    <row r="471">
      <c r="C471" s="3"/>
      <c r="D471" s="3"/>
      <c r="E471" s="3"/>
      <c r="G471" s="3"/>
    </row>
    <row r="472">
      <c r="C472" s="3"/>
      <c r="D472" s="3"/>
      <c r="E472" s="3"/>
      <c r="G472" s="3"/>
    </row>
    <row r="473">
      <c r="C473" s="3"/>
      <c r="D473" s="3"/>
      <c r="E473" s="3"/>
      <c r="G473" s="3"/>
    </row>
    <row r="474">
      <c r="C474" s="3"/>
      <c r="D474" s="3"/>
      <c r="E474" s="3"/>
      <c r="G474" s="3"/>
    </row>
    <row r="475">
      <c r="C475" s="3"/>
      <c r="D475" s="3"/>
      <c r="E475" s="3"/>
      <c r="G475" s="3"/>
    </row>
    <row r="476">
      <c r="C476" s="3"/>
      <c r="D476" s="3"/>
      <c r="E476" s="3"/>
      <c r="G476" s="3"/>
    </row>
    <row r="477">
      <c r="C477" s="3"/>
      <c r="D477" s="3"/>
      <c r="E477" s="3"/>
      <c r="G477" s="3"/>
    </row>
    <row r="478">
      <c r="C478" s="3"/>
      <c r="D478" s="3"/>
      <c r="E478" s="3"/>
      <c r="G478" s="3"/>
    </row>
    <row r="479">
      <c r="C479" s="3"/>
      <c r="D479" s="3"/>
      <c r="E479" s="3"/>
      <c r="G479" s="3"/>
    </row>
    <row r="480">
      <c r="C480" s="3"/>
      <c r="D480" s="3"/>
      <c r="E480" s="3"/>
      <c r="G480" s="3"/>
    </row>
    <row r="481">
      <c r="C481" s="3"/>
      <c r="D481" s="3"/>
      <c r="E481" s="3"/>
      <c r="G481" s="3"/>
    </row>
    <row r="482">
      <c r="C482" s="3"/>
      <c r="D482" s="3"/>
      <c r="E482" s="3"/>
      <c r="G482" s="3"/>
    </row>
    <row r="483">
      <c r="C483" s="3"/>
      <c r="D483" s="3"/>
      <c r="E483" s="3"/>
      <c r="G483" s="3"/>
    </row>
    <row r="484">
      <c r="C484" s="3"/>
      <c r="D484" s="3"/>
      <c r="E484" s="3"/>
      <c r="G484" s="3"/>
    </row>
    <row r="485">
      <c r="C485" s="3"/>
      <c r="D485" s="3"/>
      <c r="E485" s="3"/>
      <c r="G485" s="3"/>
    </row>
    <row r="486">
      <c r="C486" s="3"/>
      <c r="D486" s="3"/>
      <c r="E486" s="3"/>
      <c r="G486" s="3"/>
    </row>
    <row r="487">
      <c r="C487" s="3"/>
      <c r="D487" s="3"/>
      <c r="E487" s="3"/>
      <c r="G487" s="3"/>
    </row>
    <row r="488">
      <c r="C488" s="3"/>
      <c r="D488" s="3"/>
      <c r="E488" s="3"/>
      <c r="G488" s="3"/>
    </row>
    <row r="489">
      <c r="C489" s="3"/>
      <c r="D489" s="3"/>
      <c r="E489" s="3"/>
      <c r="G489" s="3"/>
    </row>
    <row r="490">
      <c r="C490" s="3"/>
      <c r="D490" s="3"/>
      <c r="E490" s="3"/>
      <c r="G490" s="3"/>
    </row>
    <row r="491">
      <c r="C491" s="3"/>
      <c r="D491" s="3"/>
      <c r="E491" s="3"/>
      <c r="G491" s="3"/>
    </row>
    <row r="492">
      <c r="C492" s="3"/>
      <c r="D492" s="3"/>
      <c r="E492" s="3"/>
      <c r="G492" s="3"/>
    </row>
    <row r="493">
      <c r="C493" s="3"/>
      <c r="D493" s="3"/>
      <c r="E493" s="3"/>
      <c r="G493" s="3"/>
    </row>
    <row r="494">
      <c r="C494" s="3"/>
      <c r="D494" s="3"/>
      <c r="E494" s="3"/>
      <c r="G494" s="3"/>
    </row>
    <row r="495">
      <c r="C495" s="3"/>
      <c r="D495" s="3"/>
      <c r="E495" s="3"/>
      <c r="G495" s="3"/>
    </row>
    <row r="496">
      <c r="C496" s="3"/>
      <c r="D496" s="3"/>
      <c r="E496" s="3"/>
      <c r="G496" s="3"/>
    </row>
    <row r="497">
      <c r="C497" s="3"/>
      <c r="D497" s="3"/>
      <c r="E497" s="3"/>
      <c r="G497" s="3"/>
    </row>
    <row r="498">
      <c r="C498" s="3"/>
      <c r="D498" s="3"/>
      <c r="E498" s="3"/>
      <c r="G498" s="3"/>
    </row>
    <row r="499">
      <c r="C499" s="3"/>
      <c r="D499" s="3"/>
      <c r="E499" s="3"/>
      <c r="G499" s="3"/>
    </row>
    <row r="500">
      <c r="C500" s="3"/>
      <c r="D500" s="3"/>
      <c r="E500" s="3"/>
      <c r="G500" s="3"/>
    </row>
    <row r="501">
      <c r="C501" s="3"/>
      <c r="D501" s="3"/>
      <c r="E501" s="3"/>
      <c r="G501" s="3"/>
    </row>
    <row r="502">
      <c r="C502" s="3"/>
      <c r="D502" s="3"/>
      <c r="E502" s="3"/>
      <c r="G502" s="3"/>
    </row>
    <row r="503">
      <c r="C503" s="3"/>
      <c r="D503" s="3"/>
      <c r="E503" s="3"/>
      <c r="G503" s="3"/>
    </row>
    <row r="504">
      <c r="C504" s="3"/>
      <c r="D504" s="3"/>
      <c r="E504" s="3"/>
      <c r="G504" s="3"/>
    </row>
    <row r="505">
      <c r="C505" s="3"/>
      <c r="D505" s="3"/>
      <c r="E505" s="3"/>
      <c r="G505" s="3"/>
    </row>
    <row r="506">
      <c r="C506" s="3"/>
      <c r="D506" s="3"/>
      <c r="E506" s="3"/>
      <c r="G506" s="3"/>
    </row>
    <row r="507">
      <c r="C507" s="3"/>
      <c r="D507" s="3"/>
      <c r="E507" s="3"/>
      <c r="G507" s="3"/>
    </row>
    <row r="508">
      <c r="C508" s="3"/>
      <c r="D508" s="3"/>
      <c r="E508" s="3"/>
      <c r="G508" s="3"/>
    </row>
    <row r="509">
      <c r="C509" s="3"/>
      <c r="D509" s="3"/>
      <c r="E509" s="3"/>
      <c r="G509" s="3"/>
    </row>
    <row r="510">
      <c r="C510" s="3"/>
      <c r="D510" s="3"/>
      <c r="E510" s="3"/>
      <c r="G510" s="3"/>
    </row>
    <row r="511">
      <c r="C511" s="3"/>
      <c r="D511" s="3"/>
      <c r="E511" s="3"/>
      <c r="G511" s="3"/>
    </row>
    <row r="512">
      <c r="C512" s="3"/>
      <c r="D512" s="3"/>
      <c r="E512" s="3"/>
      <c r="G512" s="3"/>
    </row>
    <row r="513">
      <c r="C513" s="3"/>
      <c r="D513" s="3"/>
      <c r="E513" s="3"/>
      <c r="G513" s="3"/>
    </row>
    <row r="514">
      <c r="C514" s="3"/>
      <c r="D514" s="3"/>
      <c r="E514" s="3"/>
      <c r="G514" s="3"/>
    </row>
    <row r="515">
      <c r="C515" s="3"/>
      <c r="D515" s="3"/>
      <c r="E515" s="3"/>
      <c r="G515" s="3"/>
    </row>
    <row r="516">
      <c r="C516" s="3"/>
      <c r="D516" s="3"/>
      <c r="E516" s="3"/>
      <c r="G516" s="3"/>
    </row>
    <row r="517">
      <c r="C517" s="3"/>
      <c r="D517" s="3"/>
      <c r="E517" s="3"/>
      <c r="G517" s="3"/>
    </row>
    <row r="518">
      <c r="C518" s="3"/>
      <c r="D518" s="3"/>
      <c r="E518" s="3"/>
      <c r="G518" s="3"/>
    </row>
    <row r="519">
      <c r="C519" s="3"/>
      <c r="D519" s="3"/>
      <c r="E519" s="3"/>
      <c r="G519" s="3"/>
    </row>
    <row r="520">
      <c r="C520" s="3"/>
      <c r="D520" s="3"/>
      <c r="E520" s="3"/>
      <c r="G520" s="3"/>
    </row>
    <row r="521">
      <c r="C521" s="3"/>
      <c r="D521" s="3"/>
      <c r="E521" s="3"/>
      <c r="G521" s="3"/>
    </row>
    <row r="522">
      <c r="C522" s="3"/>
      <c r="D522" s="3"/>
      <c r="E522" s="3"/>
      <c r="G522" s="3"/>
    </row>
    <row r="523">
      <c r="C523" s="3"/>
      <c r="D523" s="3"/>
      <c r="E523" s="3"/>
      <c r="G523" s="3"/>
    </row>
    <row r="524">
      <c r="C524" s="3"/>
      <c r="D524" s="3"/>
      <c r="E524" s="3"/>
      <c r="G524" s="3"/>
    </row>
    <row r="525">
      <c r="C525" s="3"/>
      <c r="D525" s="3"/>
      <c r="E525" s="3"/>
      <c r="G525" s="3"/>
    </row>
    <row r="526">
      <c r="C526" s="3"/>
      <c r="D526" s="3"/>
      <c r="E526" s="3"/>
      <c r="G526" s="3"/>
    </row>
    <row r="527">
      <c r="C527" s="3"/>
      <c r="D527" s="3"/>
      <c r="E527" s="3"/>
      <c r="G527" s="3"/>
    </row>
    <row r="528">
      <c r="C528" s="3"/>
      <c r="D528" s="3"/>
      <c r="E528" s="3"/>
      <c r="G528" s="3"/>
    </row>
    <row r="529">
      <c r="C529" s="3"/>
      <c r="D529" s="3"/>
      <c r="E529" s="3"/>
      <c r="G529" s="3"/>
    </row>
    <row r="530">
      <c r="C530" s="3"/>
      <c r="D530" s="3"/>
      <c r="E530" s="3"/>
      <c r="G530" s="3"/>
    </row>
    <row r="531">
      <c r="C531" s="3"/>
      <c r="D531" s="3"/>
      <c r="E531" s="3"/>
      <c r="G531" s="3"/>
    </row>
    <row r="532">
      <c r="C532" s="3"/>
      <c r="D532" s="3"/>
      <c r="E532" s="3"/>
      <c r="G532" s="3"/>
    </row>
    <row r="533">
      <c r="C533" s="3"/>
      <c r="D533" s="3"/>
      <c r="E533" s="3"/>
      <c r="G533" s="3"/>
    </row>
    <row r="534">
      <c r="C534" s="3"/>
      <c r="D534" s="3"/>
      <c r="E534" s="3"/>
      <c r="G534" s="3"/>
    </row>
    <row r="535">
      <c r="C535" s="3"/>
      <c r="D535" s="3"/>
      <c r="E535" s="3"/>
      <c r="G535" s="3"/>
    </row>
    <row r="536">
      <c r="C536" s="3"/>
      <c r="D536" s="3"/>
      <c r="E536" s="3"/>
      <c r="G536" s="3"/>
    </row>
    <row r="537">
      <c r="C537" s="3"/>
      <c r="D537" s="3"/>
      <c r="E537" s="3"/>
      <c r="G537" s="3"/>
    </row>
    <row r="538">
      <c r="C538" s="3"/>
      <c r="D538" s="3"/>
      <c r="E538" s="3"/>
      <c r="G538" s="3"/>
    </row>
    <row r="539">
      <c r="C539" s="3"/>
      <c r="D539" s="3"/>
      <c r="E539" s="3"/>
      <c r="G539" s="3"/>
    </row>
    <row r="540">
      <c r="C540" s="3"/>
      <c r="D540" s="3"/>
      <c r="E540" s="3"/>
      <c r="G540" s="3"/>
    </row>
    <row r="541">
      <c r="C541" s="3"/>
      <c r="D541" s="3"/>
      <c r="E541" s="3"/>
      <c r="G541" s="3"/>
    </row>
    <row r="542">
      <c r="C542" s="3"/>
      <c r="D542" s="3"/>
      <c r="E542" s="3"/>
      <c r="G542" s="3"/>
    </row>
    <row r="543">
      <c r="C543" s="3"/>
      <c r="D543" s="3"/>
      <c r="E543" s="3"/>
      <c r="G543" s="3"/>
    </row>
    <row r="544">
      <c r="C544" s="3"/>
      <c r="D544" s="3"/>
      <c r="E544" s="3"/>
      <c r="G544" s="3"/>
    </row>
    <row r="545">
      <c r="C545" s="3"/>
      <c r="D545" s="3"/>
      <c r="E545" s="3"/>
      <c r="G545" s="3"/>
    </row>
    <row r="546">
      <c r="C546" s="3"/>
      <c r="D546" s="3"/>
      <c r="E546" s="3"/>
      <c r="G546" s="3"/>
    </row>
    <row r="547">
      <c r="C547" s="3"/>
      <c r="D547" s="3"/>
      <c r="E547" s="3"/>
      <c r="G547" s="3"/>
    </row>
    <row r="548">
      <c r="C548" s="3"/>
      <c r="D548" s="3"/>
      <c r="E548" s="3"/>
      <c r="G548" s="3"/>
    </row>
    <row r="549">
      <c r="C549" s="3"/>
      <c r="D549" s="3"/>
      <c r="E549" s="3"/>
      <c r="G549" s="3"/>
    </row>
    <row r="550">
      <c r="C550" s="3"/>
      <c r="D550" s="3"/>
      <c r="E550" s="3"/>
      <c r="G550" s="3"/>
    </row>
    <row r="551">
      <c r="C551" s="3"/>
      <c r="D551" s="3"/>
      <c r="E551" s="3"/>
      <c r="G551" s="3"/>
    </row>
    <row r="552">
      <c r="C552" s="3"/>
      <c r="D552" s="3"/>
      <c r="E552" s="3"/>
      <c r="G552" s="3"/>
    </row>
    <row r="553">
      <c r="C553" s="3"/>
      <c r="D553" s="3"/>
      <c r="E553" s="3"/>
      <c r="G553" s="3"/>
    </row>
    <row r="554">
      <c r="C554" s="3"/>
      <c r="D554" s="3"/>
      <c r="E554" s="3"/>
      <c r="G554" s="3"/>
    </row>
    <row r="555">
      <c r="C555" s="3"/>
      <c r="D555" s="3"/>
      <c r="E555" s="3"/>
      <c r="G555" s="3"/>
    </row>
    <row r="556">
      <c r="C556" s="3"/>
      <c r="D556" s="3"/>
      <c r="E556" s="3"/>
      <c r="G556" s="3"/>
    </row>
    <row r="557">
      <c r="C557" s="3"/>
      <c r="D557" s="3"/>
      <c r="E557" s="3"/>
      <c r="G557" s="3"/>
    </row>
    <row r="558">
      <c r="C558" s="3"/>
      <c r="D558" s="3"/>
      <c r="E558" s="3"/>
      <c r="G558" s="3"/>
    </row>
    <row r="559">
      <c r="C559" s="3"/>
      <c r="D559" s="3"/>
      <c r="E559" s="3"/>
      <c r="G559" s="3"/>
    </row>
    <row r="560">
      <c r="C560" s="3"/>
      <c r="D560" s="3"/>
      <c r="E560" s="3"/>
      <c r="G560" s="3"/>
    </row>
    <row r="561">
      <c r="C561" s="3"/>
      <c r="D561" s="3"/>
      <c r="E561" s="3"/>
      <c r="G561" s="3"/>
    </row>
    <row r="562">
      <c r="C562" s="3"/>
      <c r="D562" s="3"/>
      <c r="E562" s="3"/>
      <c r="G562" s="3"/>
    </row>
    <row r="563">
      <c r="C563" s="3"/>
      <c r="D563" s="3"/>
      <c r="E563" s="3"/>
      <c r="G563" s="3"/>
    </row>
    <row r="564">
      <c r="C564" s="3"/>
      <c r="D564" s="3"/>
      <c r="E564" s="3"/>
      <c r="G564" s="3"/>
    </row>
    <row r="565">
      <c r="C565" s="3"/>
      <c r="D565" s="3"/>
      <c r="E565" s="3"/>
      <c r="G565" s="3"/>
    </row>
    <row r="566">
      <c r="C566" s="3"/>
      <c r="D566" s="3"/>
      <c r="E566" s="3"/>
      <c r="G566" s="3"/>
    </row>
    <row r="567">
      <c r="C567" s="3"/>
      <c r="D567" s="3"/>
      <c r="E567" s="3"/>
      <c r="G567" s="3"/>
    </row>
    <row r="568">
      <c r="C568" s="3"/>
      <c r="D568" s="3"/>
      <c r="E568" s="3"/>
      <c r="G568" s="3"/>
    </row>
    <row r="569">
      <c r="C569" s="3"/>
      <c r="D569" s="3"/>
      <c r="E569" s="3"/>
      <c r="G569" s="3"/>
    </row>
    <row r="570">
      <c r="C570" s="3"/>
      <c r="D570" s="3"/>
      <c r="E570" s="3"/>
      <c r="G570" s="3"/>
    </row>
    <row r="571">
      <c r="C571" s="3"/>
      <c r="D571" s="3"/>
      <c r="E571" s="3"/>
      <c r="G571" s="3"/>
    </row>
    <row r="572">
      <c r="C572" s="3"/>
      <c r="D572" s="3"/>
      <c r="E572" s="3"/>
      <c r="G572" s="3"/>
    </row>
    <row r="573">
      <c r="C573" s="3"/>
      <c r="D573" s="3"/>
      <c r="E573" s="3"/>
      <c r="G573" s="3"/>
    </row>
    <row r="574">
      <c r="C574" s="3"/>
      <c r="D574" s="3"/>
      <c r="E574" s="3"/>
      <c r="G574" s="3"/>
    </row>
    <row r="575">
      <c r="C575" s="3"/>
      <c r="D575" s="3"/>
      <c r="E575" s="3"/>
      <c r="G575" s="3"/>
    </row>
    <row r="576">
      <c r="C576" s="3"/>
      <c r="D576" s="3"/>
      <c r="E576" s="3"/>
      <c r="G576" s="3"/>
    </row>
    <row r="577">
      <c r="C577" s="3"/>
      <c r="D577" s="3"/>
      <c r="E577" s="3"/>
      <c r="G577" s="3"/>
    </row>
    <row r="578">
      <c r="C578" s="3"/>
      <c r="D578" s="3"/>
      <c r="E578" s="3"/>
      <c r="G578" s="3"/>
    </row>
    <row r="579">
      <c r="C579" s="3"/>
      <c r="D579" s="3"/>
      <c r="E579" s="3"/>
      <c r="G579" s="3"/>
    </row>
    <row r="580">
      <c r="C580" s="3"/>
      <c r="D580" s="3"/>
      <c r="E580" s="3"/>
      <c r="G580" s="3"/>
    </row>
    <row r="581">
      <c r="C581" s="3"/>
      <c r="D581" s="3"/>
      <c r="E581" s="3"/>
      <c r="G581" s="3"/>
    </row>
    <row r="582">
      <c r="C582" s="3"/>
      <c r="D582" s="3"/>
      <c r="E582" s="3"/>
      <c r="G582" s="3"/>
    </row>
    <row r="583">
      <c r="C583" s="3"/>
      <c r="D583" s="3"/>
      <c r="E583" s="3"/>
      <c r="G583" s="3"/>
    </row>
    <row r="584">
      <c r="C584" s="3"/>
      <c r="D584" s="3"/>
      <c r="E584" s="3"/>
      <c r="G584" s="3"/>
    </row>
    <row r="585">
      <c r="C585" s="3"/>
      <c r="D585" s="3"/>
      <c r="E585" s="3"/>
      <c r="G585" s="3"/>
    </row>
    <row r="586">
      <c r="C586" s="3"/>
      <c r="D586" s="3"/>
      <c r="E586" s="3"/>
      <c r="G586" s="3"/>
    </row>
    <row r="587">
      <c r="C587" s="3"/>
      <c r="D587" s="3"/>
      <c r="E587" s="3"/>
      <c r="G587" s="3"/>
    </row>
    <row r="588">
      <c r="C588" s="3"/>
      <c r="D588" s="3"/>
      <c r="E588" s="3"/>
      <c r="G588" s="3"/>
    </row>
    <row r="589">
      <c r="C589" s="3"/>
      <c r="D589" s="3"/>
      <c r="E589" s="3"/>
      <c r="G589" s="3"/>
    </row>
    <row r="590">
      <c r="C590" s="3"/>
      <c r="D590" s="3"/>
      <c r="E590" s="3"/>
      <c r="G590" s="3"/>
    </row>
    <row r="591">
      <c r="C591" s="3"/>
      <c r="D591" s="3"/>
      <c r="E591" s="3"/>
      <c r="G591" s="3"/>
    </row>
    <row r="592">
      <c r="C592" s="3"/>
      <c r="D592" s="3"/>
      <c r="E592" s="3"/>
      <c r="G592" s="3"/>
    </row>
    <row r="593">
      <c r="C593" s="3"/>
      <c r="D593" s="3"/>
      <c r="E593" s="3"/>
      <c r="G593" s="3"/>
    </row>
    <row r="594">
      <c r="C594" s="3"/>
      <c r="D594" s="3"/>
      <c r="E594" s="3"/>
      <c r="G594" s="3"/>
    </row>
    <row r="595">
      <c r="C595" s="3"/>
      <c r="D595" s="3"/>
      <c r="E595" s="3"/>
      <c r="G595" s="3"/>
    </row>
    <row r="596">
      <c r="C596" s="3"/>
      <c r="D596" s="3"/>
      <c r="E596" s="3"/>
      <c r="G596" s="3"/>
    </row>
    <row r="597">
      <c r="C597" s="3"/>
      <c r="D597" s="3"/>
      <c r="E597" s="3"/>
      <c r="G597" s="3"/>
    </row>
    <row r="598">
      <c r="C598" s="3"/>
      <c r="D598" s="3"/>
      <c r="E598" s="3"/>
      <c r="G598" s="3"/>
    </row>
    <row r="599">
      <c r="C599" s="3"/>
      <c r="D599" s="3"/>
      <c r="E599" s="3"/>
      <c r="G599" s="3"/>
    </row>
    <row r="600">
      <c r="C600" s="3"/>
      <c r="D600" s="3"/>
      <c r="E600" s="3"/>
      <c r="G600" s="3"/>
    </row>
    <row r="601">
      <c r="C601" s="3"/>
      <c r="D601" s="3"/>
      <c r="E601" s="3"/>
      <c r="G601" s="3"/>
    </row>
    <row r="602">
      <c r="C602" s="3"/>
      <c r="D602" s="3"/>
      <c r="E602" s="3"/>
      <c r="G602" s="3"/>
    </row>
    <row r="603">
      <c r="C603" s="3"/>
      <c r="D603" s="3"/>
      <c r="E603" s="3"/>
      <c r="G603" s="3"/>
    </row>
    <row r="604">
      <c r="C604" s="3"/>
      <c r="D604" s="3"/>
      <c r="E604" s="3"/>
      <c r="G604" s="3"/>
    </row>
    <row r="605">
      <c r="C605" s="3"/>
      <c r="D605" s="3"/>
      <c r="E605" s="3"/>
      <c r="G605" s="3"/>
    </row>
    <row r="606">
      <c r="C606" s="3"/>
      <c r="D606" s="3"/>
      <c r="E606" s="3"/>
      <c r="G606" s="3"/>
    </row>
    <row r="607">
      <c r="C607" s="3"/>
      <c r="D607" s="3"/>
      <c r="E607" s="3"/>
      <c r="G607" s="3"/>
    </row>
    <row r="608">
      <c r="C608" s="3"/>
      <c r="D608" s="3"/>
      <c r="E608" s="3"/>
      <c r="G608" s="3"/>
    </row>
    <row r="609">
      <c r="C609" s="3"/>
      <c r="D609" s="3"/>
      <c r="E609" s="3"/>
      <c r="G609" s="3"/>
    </row>
    <row r="610">
      <c r="C610" s="3"/>
      <c r="D610" s="3"/>
      <c r="E610" s="3"/>
      <c r="G610" s="3"/>
    </row>
    <row r="611">
      <c r="C611" s="3"/>
      <c r="D611" s="3"/>
      <c r="E611" s="3"/>
      <c r="G611" s="3"/>
    </row>
    <row r="612">
      <c r="C612" s="3"/>
      <c r="D612" s="3"/>
      <c r="E612" s="3"/>
      <c r="G612" s="3"/>
    </row>
    <row r="613">
      <c r="C613" s="3"/>
      <c r="D613" s="3"/>
      <c r="E613" s="3"/>
      <c r="G613" s="3"/>
    </row>
    <row r="614">
      <c r="C614" s="3"/>
      <c r="D614" s="3"/>
      <c r="E614" s="3"/>
      <c r="G614" s="3"/>
    </row>
    <row r="615">
      <c r="C615" s="3"/>
      <c r="D615" s="3"/>
      <c r="E615" s="3"/>
      <c r="G615" s="3"/>
    </row>
    <row r="616">
      <c r="C616" s="3"/>
      <c r="D616" s="3"/>
      <c r="E616" s="3"/>
      <c r="G616" s="3"/>
    </row>
    <row r="617">
      <c r="C617" s="3"/>
      <c r="D617" s="3"/>
      <c r="E617" s="3"/>
      <c r="G617" s="3"/>
    </row>
    <row r="618">
      <c r="C618" s="3"/>
      <c r="D618" s="3"/>
      <c r="E618" s="3"/>
      <c r="G618" s="3"/>
    </row>
    <row r="619">
      <c r="C619" s="3"/>
      <c r="D619" s="3"/>
      <c r="E619" s="3"/>
      <c r="G619" s="3"/>
    </row>
    <row r="620">
      <c r="C620" s="3"/>
      <c r="D620" s="3"/>
      <c r="E620" s="3"/>
      <c r="G620" s="3"/>
    </row>
    <row r="621">
      <c r="C621" s="3"/>
      <c r="D621" s="3"/>
      <c r="E621" s="3"/>
      <c r="G621" s="3"/>
    </row>
    <row r="622">
      <c r="C622" s="3"/>
      <c r="D622" s="3"/>
      <c r="E622" s="3"/>
      <c r="G622" s="3"/>
    </row>
    <row r="623">
      <c r="C623" s="3"/>
      <c r="D623" s="3"/>
      <c r="E623" s="3"/>
      <c r="G623" s="3"/>
    </row>
    <row r="624">
      <c r="C624" s="3"/>
      <c r="D624" s="3"/>
      <c r="E624" s="3"/>
      <c r="G624" s="3"/>
    </row>
    <row r="625">
      <c r="C625" s="3"/>
      <c r="D625" s="3"/>
      <c r="E625" s="3"/>
      <c r="G625" s="3"/>
    </row>
    <row r="626">
      <c r="C626" s="3"/>
      <c r="D626" s="3"/>
      <c r="E626" s="3"/>
      <c r="G626" s="3"/>
    </row>
    <row r="627">
      <c r="C627" s="3"/>
      <c r="D627" s="3"/>
      <c r="E627" s="3"/>
      <c r="G627" s="3"/>
    </row>
    <row r="628">
      <c r="C628" s="3"/>
      <c r="D628" s="3"/>
      <c r="E628" s="3"/>
      <c r="G628" s="3"/>
    </row>
    <row r="629">
      <c r="C629" s="3"/>
      <c r="D629" s="3"/>
      <c r="E629" s="3"/>
      <c r="G629" s="3"/>
    </row>
    <row r="630">
      <c r="C630" s="3"/>
      <c r="D630" s="3"/>
      <c r="E630" s="3"/>
      <c r="G630" s="3"/>
    </row>
    <row r="631">
      <c r="C631" s="3"/>
      <c r="D631" s="3"/>
      <c r="E631" s="3"/>
      <c r="G631" s="3"/>
    </row>
    <row r="632">
      <c r="C632" s="3"/>
      <c r="D632" s="3"/>
      <c r="E632" s="3"/>
      <c r="G632" s="3"/>
    </row>
    <row r="633">
      <c r="C633" s="3"/>
      <c r="D633" s="3"/>
      <c r="E633" s="3"/>
      <c r="G633" s="3"/>
    </row>
    <row r="634">
      <c r="C634" s="3"/>
      <c r="D634" s="3"/>
      <c r="E634" s="3"/>
      <c r="G634" s="3"/>
    </row>
    <row r="635">
      <c r="C635" s="3"/>
      <c r="D635" s="3"/>
      <c r="E635" s="3"/>
      <c r="G635" s="3"/>
    </row>
    <row r="636">
      <c r="C636" s="3"/>
      <c r="D636" s="3"/>
      <c r="E636" s="3"/>
      <c r="G636" s="3"/>
    </row>
    <row r="637">
      <c r="C637" s="3"/>
      <c r="D637" s="3"/>
      <c r="E637" s="3"/>
      <c r="G637" s="3"/>
    </row>
    <row r="638">
      <c r="C638" s="3"/>
      <c r="D638" s="3"/>
      <c r="E638" s="3"/>
      <c r="G638" s="3"/>
    </row>
    <row r="639">
      <c r="C639" s="3"/>
      <c r="D639" s="3"/>
      <c r="E639" s="3"/>
      <c r="G639" s="3"/>
    </row>
    <row r="640">
      <c r="C640" s="3"/>
      <c r="D640" s="3"/>
      <c r="E640" s="3"/>
      <c r="G640" s="3"/>
    </row>
    <row r="641">
      <c r="C641" s="3"/>
      <c r="D641" s="3"/>
      <c r="E641" s="3"/>
      <c r="G641" s="3"/>
    </row>
    <row r="642">
      <c r="C642" s="3"/>
      <c r="D642" s="3"/>
      <c r="E642" s="3"/>
      <c r="G642" s="3"/>
    </row>
    <row r="643">
      <c r="C643" s="3"/>
      <c r="D643" s="3"/>
      <c r="E643" s="3"/>
      <c r="G643" s="3"/>
    </row>
    <row r="644">
      <c r="C644" s="3"/>
      <c r="D644" s="3"/>
      <c r="E644" s="3"/>
      <c r="G644" s="3"/>
    </row>
    <row r="645">
      <c r="C645" s="3"/>
      <c r="D645" s="3"/>
      <c r="E645" s="3"/>
      <c r="G645" s="3"/>
    </row>
    <row r="646">
      <c r="C646" s="3"/>
      <c r="D646" s="3"/>
      <c r="E646" s="3"/>
      <c r="G646" s="3"/>
    </row>
    <row r="647">
      <c r="C647" s="3"/>
      <c r="D647" s="3"/>
      <c r="E647" s="3"/>
      <c r="G647" s="3"/>
    </row>
    <row r="648">
      <c r="C648" s="3"/>
      <c r="D648" s="3"/>
      <c r="E648" s="3"/>
      <c r="G648" s="3"/>
    </row>
    <row r="649">
      <c r="C649" s="3"/>
      <c r="D649" s="3"/>
      <c r="E649" s="3"/>
      <c r="G649" s="3"/>
    </row>
    <row r="650">
      <c r="C650" s="3"/>
      <c r="D650" s="3"/>
      <c r="E650" s="3"/>
      <c r="G650" s="3"/>
    </row>
    <row r="651">
      <c r="C651" s="3"/>
      <c r="D651" s="3"/>
      <c r="E651" s="3"/>
      <c r="G651" s="3"/>
    </row>
    <row r="652">
      <c r="C652" s="3"/>
      <c r="D652" s="3"/>
      <c r="E652" s="3"/>
      <c r="G652" s="3"/>
    </row>
    <row r="653">
      <c r="C653" s="3"/>
      <c r="D653" s="3"/>
      <c r="E653" s="3"/>
      <c r="G653" s="3"/>
    </row>
    <row r="654">
      <c r="C654" s="3"/>
      <c r="D654" s="3"/>
      <c r="E654" s="3"/>
      <c r="G654" s="3"/>
    </row>
    <row r="655">
      <c r="C655" s="3"/>
      <c r="D655" s="3"/>
      <c r="E655" s="3"/>
      <c r="G655" s="3"/>
    </row>
    <row r="656">
      <c r="C656" s="3"/>
      <c r="D656" s="3"/>
      <c r="E656" s="3"/>
      <c r="G656" s="3"/>
    </row>
    <row r="657">
      <c r="C657" s="3"/>
      <c r="D657" s="3"/>
      <c r="E657" s="3"/>
      <c r="G657" s="3"/>
    </row>
    <row r="658">
      <c r="C658" s="3"/>
      <c r="D658" s="3"/>
      <c r="E658" s="3"/>
      <c r="G658" s="3"/>
    </row>
    <row r="659">
      <c r="C659" s="3"/>
      <c r="D659" s="3"/>
      <c r="E659" s="3"/>
      <c r="G659" s="3"/>
    </row>
    <row r="660">
      <c r="C660" s="3"/>
      <c r="D660" s="3"/>
      <c r="E660" s="3"/>
      <c r="G660" s="3"/>
    </row>
    <row r="661">
      <c r="C661" s="3"/>
      <c r="D661" s="3"/>
      <c r="E661" s="3"/>
      <c r="G661" s="3"/>
    </row>
    <row r="662">
      <c r="C662" s="3"/>
      <c r="D662" s="3"/>
      <c r="E662" s="3"/>
      <c r="G662" s="3"/>
    </row>
    <row r="663">
      <c r="C663" s="3"/>
      <c r="D663" s="3"/>
      <c r="E663" s="3"/>
      <c r="G663" s="3"/>
    </row>
    <row r="664">
      <c r="C664" s="3"/>
      <c r="D664" s="3"/>
      <c r="E664" s="3"/>
      <c r="G664" s="3"/>
    </row>
    <row r="665">
      <c r="C665" s="3"/>
      <c r="D665" s="3"/>
      <c r="E665" s="3"/>
      <c r="G665" s="3"/>
    </row>
    <row r="666">
      <c r="C666" s="3"/>
      <c r="D666" s="3"/>
      <c r="E666" s="3"/>
      <c r="G666" s="3"/>
    </row>
    <row r="667">
      <c r="C667" s="3"/>
      <c r="D667" s="3"/>
      <c r="E667" s="3"/>
      <c r="G667" s="3"/>
    </row>
    <row r="668">
      <c r="C668" s="3"/>
      <c r="D668" s="3"/>
      <c r="E668" s="3"/>
      <c r="G668" s="3"/>
    </row>
    <row r="669">
      <c r="C669" s="3"/>
      <c r="D669" s="3"/>
      <c r="E669" s="3"/>
      <c r="G669" s="3"/>
    </row>
    <row r="670">
      <c r="C670" s="3"/>
      <c r="D670" s="3"/>
      <c r="E670" s="3"/>
      <c r="G670" s="3"/>
    </row>
    <row r="671">
      <c r="C671" s="3"/>
      <c r="D671" s="3"/>
      <c r="E671" s="3"/>
      <c r="G671" s="3"/>
    </row>
    <row r="672">
      <c r="C672" s="3"/>
      <c r="D672" s="3"/>
      <c r="E672" s="3"/>
      <c r="G672" s="3"/>
    </row>
    <row r="673">
      <c r="C673" s="3"/>
      <c r="D673" s="3"/>
      <c r="E673" s="3"/>
      <c r="G673" s="3"/>
    </row>
    <row r="674">
      <c r="C674" s="3"/>
      <c r="D674" s="3"/>
      <c r="E674" s="3"/>
      <c r="G674" s="3"/>
    </row>
    <row r="675">
      <c r="C675" s="3"/>
      <c r="D675" s="3"/>
      <c r="E675" s="3"/>
      <c r="G675" s="3"/>
    </row>
    <row r="676">
      <c r="C676" s="3"/>
      <c r="D676" s="3"/>
      <c r="E676" s="3"/>
      <c r="G676" s="3"/>
    </row>
    <row r="677">
      <c r="C677" s="3"/>
      <c r="D677" s="3"/>
      <c r="E677" s="3"/>
      <c r="G677" s="3"/>
    </row>
    <row r="678">
      <c r="C678" s="3"/>
      <c r="D678" s="3"/>
      <c r="E678" s="3"/>
      <c r="G678" s="3"/>
    </row>
    <row r="679">
      <c r="C679" s="3"/>
      <c r="D679" s="3"/>
      <c r="E679" s="3"/>
      <c r="G679" s="3"/>
    </row>
    <row r="680">
      <c r="C680" s="3"/>
      <c r="D680" s="3"/>
      <c r="E680" s="3"/>
      <c r="G680" s="3"/>
    </row>
    <row r="681">
      <c r="C681" s="3"/>
      <c r="D681" s="3"/>
      <c r="E681" s="3"/>
      <c r="G681" s="3"/>
    </row>
    <row r="682">
      <c r="C682" s="3"/>
      <c r="D682" s="3"/>
      <c r="E682" s="3"/>
      <c r="G682" s="3"/>
    </row>
    <row r="683">
      <c r="C683" s="3"/>
      <c r="D683" s="3"/>
      <c r="E683" s="3"/>
      <c r="G683" s="3"/>
    </row>
    <row r="684">
      <c r="C684" s="3"/>
      <c r="D684" s="3"/>
      <c r="E684" s="3"/>
      <c r="G684" s="3"/>
    </row>
    <row r="685">
      <c r="C685" s="3"/>
      <c r="D685" s="3"/>
      <c r="E685" s="3"/>
      <c r="G685" s="3"/>
    </row>
    <row r="686">
      <c r="C686" s="3"/>
      <c r="D686" s="3"/>
      <c r="E686" s="3"/>
      <c r="G686" s="3"/>
    </row>
    <row r="687">
      <c r="C687" s="3"/>
      <c r="D687" s="3"/>
      <c r="E687" s="3"/>
      <c r="G687" s="3"/>
    </row>
    <row r="688">
      <c r="C688" s="3"/>
      <c r="D688" s="3"/>
      <c r="E688" s="3"/>
      <c r="G688" s="3"/>
    </row>
    <row r="689">
      <c r="C689" s="3"/>
      <c r="D689" s="3"/>
      <c r="E689" s="3"/>
      <c r="G689" s="3"/>
    </row>
    <row r="690">
      <c r="C690" s="3"/>
      <c r="D690" s="3"/>
      <c r="E690" s="3"/>
      <c r="G690" s="3"/>
    </row>
    <row r="691">
      <c r="C691" s="3"/>
      <c r="D691" s="3"/>
      <c r="E691" s="3"/>
      <c r="G691" s="3"/>
    </row>
    <row r="692">
      <c r="C692" s="3"/>
      <c r="D692" s="3"/>
      <c r="E692" s="3"/>
      <c r="G692" s="3"/>
    </row>
    <row r="693">
      <c r="C693" s="3"/>
      <c r="D693" s="3"/>
      <c r="E693" s="3"/>
      <c r="G693" s="3"/>
    </row>
    <row r="694">
      <c r="C694" s="3"/>
      <c r="D694" s="3"/>
      <c r="E694" s="3"/>
      <c r="G694" s="3"/>
    </row>
    <row r="695">
      <c r="C695" s="3"/>
      <c r="D695" s="3"/>
      <c r="E695" s="3"/>
      <c r="G695" s="3"/>
    </row>
    <row r="696">
      <c r="C696" s="3"/>
      <c r="D696" s="3"/>
      <c r="E696" s="3"/>
      <c r="G696" s="3"/>
    </row>
    <row r="697">
      <c r="C697" s="3"/>
      <c r="D697" s="3"/>
      <c r="E697" s="3"/>
      <c r="G697" s="3"/>
    </row>
    <row r="698">
      <c r="C698" s="3"/>
      <c r="D698" s="3"/>
      <c r="E698" s="3"/>
      <c r="G698" s="3"/>
    </row>
    <row r="699">
      <c r="C699" s="3"/>
      <c r="D699" s="3"/>
      <c r="E699" s="3"/>
      <c r="G699" s="3"/>
    </row>
    <row r="700">
      <c r="C700" s="3"/>
      <c r="D700" s="3"/>
      <c r="E700" s="3"/>
      <c r="G700" s="3"/>
    </row>
    <row r="701">
      <c r="C701" s="3"/>
      <c r="D701" s="3"/>
      <c r="E701" s="3"/>
      <c r="G701" s="3"/>
    </row>
    <row r="702">
      <c r="C702" s="3"/>
      <c r="D702" s="3"/>
      <c r="E702" s="3"/>
      <c r="G702" s="3"/>
    </row>
    <row r="703">
      <c r="C703" s="3"/>
      <c r="D703" s="3"/>
      <c r="E703" s="3"/>
      <c r="G703" s="3"/>
    </row>
    <row r="704">
      <c r="C704" s="3"/>
      <c r="D704" s="3"/>
      <c r="E704" s="3"/>
      <c r="G704" s="3"/>
    </row>
    <row r="705">
      <c r="C705" s="3"/>
      <c r="D705" s="3"/>
      <c r="E705" s="3"/>
      <c r="G705" s="3"/>
    </row>
    <row r="706">
      <c r="C706" s="3"/>
      <c r="D706" s="3"/>
      <c r="E706" s="3"/>
      <c r="G706" s="3"/>
    </row>
    <row r="707">
      <c r="C707" s="3"/>
      <c r="D707" s="3"/>
      <c r="E707" s="3"/>
      <c r="G707" s="3"/>
    </row>
    <row r="708">
      <c r="C708" s="3"/>
      <c r="D708" s="3"/>
      <c r="E708" s="3"/>
      <c r="G708" s="3"/>
    </row>
    <row r="709">
      <c r="C709" s="3"/>
      <c r="D709" s="3"/>
      <c r="E709" s="3"/>
      <c r="G709" s="3"/>
    </row>
    <row r="710">
      <c r="C710" s="3"/>
      <c r="D710" s="3"/>
      <c r="E710" s="3"/>
      <c r="G710" s="3"/>
    </row>
    <row r="711">
      <c r="C711" s="3"/>
      <c r="D711" s="3"/>
      <c r="E711" s="3"/>
      <c r="G711" s="3"/>
    </row>
    <row r="712">
      <c r="C712" s="3"/>
      <c r="D712" s="3"/>
      <c r="E712" s="3"/>
      <c r="G712" s="3"/>
    </row>
    <row r="713">
      <c r="C713" s="3"/>
      <c r="D713" s="3"/>
      <c r="E713" s="3"/>
      <c r="G713" s="3"/>
    </row>
    <row r="714">
      <c r="C714" s="3"/>
      <c r="D714" s="3"/>
      <c r="E714" s="3"/>
      <c r="G714" s="3"/>
    </row>
    <row r="715">
      <c r="C715" s="3"/>
      <c r="D715" s="3"/>
      <c r="E715" s="3"/>
      <c r="G715" s="3"/>
    </row>
    <row r="716">
      <c r="C716" s="3"/>
      <c r="D716" s="3"/>
      <c r="E716" s="3"/>
      <c r="G716" s="3"/>
    </row>
    <row r="717">
      <c r="C717" s="3"/>
      <c r="D717" s="3"/>
      <c r="E717" s="3"/>
      <c r="G717" s="3"/>
    </row>
    <row r="718">
      <c r="C718" s="3"/>
      <c r="D718" s="3"/>
      <c r="E718" s="3"/>
      <c r="G718" s="3"/>
    </row>
    <row r="719">
      <c r="C719" s="3"/>
      <c r="D719" s="3"/>
      <c r="E719" s="3"/>
      <c r="G719" s="3"/>
    </row>
    <row r="720">
      <c r="C720" s="3"/>
      <c r="D720" s="3"/>
      <c r="E720" s="3"/>
      <c r="G720" s="3"/>
    </row>
    <row r="721">
      <c r="C721" s="3"/>
      <c r="D721" s="3"/>
      <c r="E721" s="3"/>
      <c r="G721" s="3"/>
    </row>
    <row r="722">
      <c r="C722" s="3"/>
      <c r="D722" s="3"/>
      <c r="E722" s="3"/>
      <c r="G722" s="3"/>
    </row>
    <row r="723">
      <c r="C723" s="3"/>
      <c r="D723" s="3"/>
      <c r="E723" s="3"/>
      <c r="G723" s="3"/>
    </row>
    <row r="724">
      <c r="C724" s="3"/>
      <c r="D724" s="3"/>
      <c r="E724" s="3"/>
      <c r="G724" s="3"/>
    </row>
    <row r="725">
      <c r="C725" s="3"/>
      <c r="D725" s="3"/>
      <c r="E725" s="3"/>
      <c r="G725" s="3"/>
    </row>
    <row r="726">
      <c r="C726" s="3"/>
      <c r="D726" s="3"/>
      <c r="E726" s="3"/>
      <c r="G726" s="3"/>
    </row>
    <row r="727">
      <c r="C727" s="3"/>
      <c r="D727" s="3"/>
      <c r="E727" s="3"/>
      <c r="G727" s="3"/>
    </row>
    <row r="728">
      <c r="C728" s="3"/>
      <c r="D728" s="3"/>
      <c r="E728" s="3"/>
      <c r="G728" s="3"/>
    </row>
    <row r="729">
      <c r="C729" s="3"/>
      <c r="D729" s="3"/>
      <c r="E729" s="3"/>
      <c r="G729" s="3"/>
    </row>
    <row r="730">
      <c r="C730" s="3"/>
      <c r="D730" s="3"/>
      <c r="E730" s="3"/>
      <c r="G730" s="3"/>
    </row>
    <row r="731">
      <c r="C731" s="3"/>
      <c r="D731" s="3"/>
      <c r="E731" s="3"/>
      <c r="G731" s="3"/>
    </row>
    <row r="732">
      <c r="C732" s="3"/>
      <c r="D732" s="3"/>
      <c r="E732" s="3"/>
      <c r="G732" s="3"/>
    </row>
    <row r="733">
      <c r="C733" s="3"/>
      <c r="D733" s="3"/>
      <c r="E733" s="3"/>
      <c r="G733" s="3"/>
    </row>
    <row r="734">
      <c r="C734" s="3"/>
      <c r="D734" s="3"/>
      <c r="E734" s="3"/>
      <c r="G734" s="3"/>
    </row>
    <row r="735">
      <c r="C735" s="3"/>
      <c r="D735" s="3"/>
      <c r="E735" s="3"/>
      <c r="G735" s="3"/>
    </row>
    <row r="736">
      <c r="C736" s="3"/>
      <c r="D736" s="3"/>
      <c r="E736" s="3"/>
      <c r="G736" s="3"/>
    </row>
    <row r="737">
      <c r="C737" s="3"/>
      <c r="D737" s="3"/>
      <c r="E737" s="3"/>
      <c r="G737" s="3"/>
    </row>
    <row r="738">
      <c r="C738" s="3"/>
      <c r="D738" s="3"/>
      <c r="E738" s="3"/>
      <c r="G738" s="3"/>
    </row>
    <row r="739">
      <c r="C739" s="3"/>
      <c r="D739" s="3"/>
      <c r="E739" s="3"/>
      <c r="G739" s="3"/>
    </row>
    <row r="740">
      <c r="C740" s="3"/>
      <c r="D740" s="3"/>
      <c r="E740" s="3"/>
      <c r="G740" s="3"/>
    </row>
    <row r="741">
      <c r="C741" s="3"/>
      <c r="D741" s="3"/>
      <c r="E741" s="3"/>
      <c r="G741" s="3"/>
    </row>
    <row r="742">
      <c r="C742" s="3"/>
      <c r="D742" s="3"/>
      <c r="E742" s="3"/>
      <c r="G742" s="3"/>
    </row>
    <row r="743">
      <c r="C743" s="3"/>
      <c r="D743" s="3"/>
      <c r="E743" s="3"/>
      <c r="G743" s="3"/>
    </row>
    <row r="744">
      <c r="C744" s="3"/>
      <c r="D744" s="3"/>
      <c r="E744" s="3"/>
      <c r="G744" s="3"/>
    </row>
    <row r="745">
      <c r="C745" s="3"/>
      <c r="D745" s="3"/>
      <c r="E745" s="3"/>
      <c r="G745" s="3"/>
    </row>
    <row r="746">
      <c r="C746" s="3"/>
      <c r="D746" s="3"/>
      <c r="E746" s="3"/>
      <c r="G746" s="3"/>
    </row>
    <row r="747">
      <c r="C747" s="3"/>
      <c r="D747" s="3"/>
      <c r="E747" s="3"/>
      <c r="G747" s="3"/>
    </row>
    <row r="748">
      <c r="C748" s="3"/>
      <c r="D748" s="3"/>
      <c r="E748" s="3"/>
      <c r="G748" s="3"/>
    </row>
    <row r="749">
      <c r="C749" s="3"/>
      <c r="D749" s="3"/>
      <c r="E749" s="3"/>
      <c r="G749" s="3"/>
    </row>
    <row r="750">
      <c r="C750" s="3"/>
      <c r="D750" s="3"/>
      <c r="E750" s="3"/>
      <c r="G750" s="3"/>
    </row>
    <row r="751">
      <c r="C751" s="3"/>
      <c r="D751" s="3"/>
      <c r="E751" s="3"/>
      <c r="G751" s="3"/>
    </row>
    <row r="752">
      <c r="C752" s="3"/>
      <c r="D752" s="3"/>
      <c r="E752" s="3"/>
      <c r="G752" s="3"/>
    </row>
    <row r="753">
      <c r="C753" s="3"/>
      <c r="D753" s="3"/>
      <c r="E753" s="3"/>
      <c r="G753" s="3"/>
    </row>
    <row r="754">
      <c r="C754" s="3"/>
      <c r="D754" s="3"/>
      <c r="E754" s="3"/>
      <c r="G754" s="3"/>
    </row>
    <row r="755">
      <c r="C755" s="3"/>
      <c r="D755" s="3"/>
      <c r="E755" s="3"/>
      <c r="G755" s="3"/>
    </row>
    <row r="756">
      <c r="C756" s="3"/>
      <c r="D756" s="3"/>
      <c r="E756" s="3"/>
      <c r="G756" s="3"/>
    </row>
    <row r="757">
      <c r="C757" s="3"/>
      <c r="D757" s="3"/>
      <c r="E757" s="3"/>
      <c r="G757" s="3"/>
    </row>
    <row r="758">
      <c r="C758" s="3"/>
      <c r="D758" s="3"/>
      <c r="E758" s="3"/>
      <c r="G758" s="3"/>
    </row>
    <row r="759">
      <c r="C759" s="3"/>
      <c r="D759" s="3"/>
      <c r="E759" s="3"/>
      <c r="G759" s="3"/>
    </row>
    <row r="760">
      <c r="C760" s="3"/>
      <c r="D760" s="3"/>
      <c r="E760" s="3"/>
      <c r="G760" s="3"/>
    </row>
    <row r="761">
      <c r="C761" s="3"/>
      <c r="D761" s="3"/>
      <c r="E761" s="3"/>
      <c r="G761" s="3"/>
    </row>
    <row r="762">
      <c r="C762" s="3"/>
      <c r="D762" s="3"/>
      <c r="E762" s="3"/>
      <c r="G762" s="3"/>
    </row>
    <row r="763">
      <c r="C763" s="3"/>
      <c r="D763" s="3"/>
      <c r="E763" s="3"/>
      <c r="G763" s="3"/>
    </row>
    <row r="764">
      <c r="C764" s="3"/>
      <c r="D764" s="3"/>
      <c r="E764" s="3"/>
      <c r="G764" s="3"/>
    </row>
    <row r="765">
      <c r="C765" s="3"/>
      <c r="D765" s="3"/>
      <c r="E765" s="3"/>
      <c r="G765" s="3"/>
    </row>
    <row r="766">
      <c r="C766" s="3"/>
      <c r="D766" s="3"/>
      <c r="E766" s="3"/>
      <c r="G766" s="3"/>
    </row>
    <row r="767">
      <c r="C767" s="3"/>
      <c r="D767" s="3"/>
      <c r="E767" s="3"/>
      <c r="G767" s="3"/>
    </row>
    <row r="768">
      <c r="C768" s="3"/>
      <c r="D768" s="3"/>
      <c r="E768" s="3"/>
      <c r="G768" s="3"/>
    </row>
    <row r="769">
      <c r="C769" s="3"/>
      <c r="D769" s="3"/>
      <c r="E769" s="3"/>
      <c r="G769" s="3"/>
    </row>
    <row r="770">
      <c r="C770" s="3"/>
      <c r="D770" s="3"/>
      <c r="E770" s="3"/>
      <c r="G770" s="3"/>
    </row>
    <row r="771">
      <c r="C771" s="3"/>
      <c r="D771" s="3"/>
      <c r="E771" s="3"/>
      <c r="G771" s="3"/>
    </row>
    <row r="772">
      <c r="C772" s="3"/>
      <c r="D772" s="3"/>
      <c r="E772" s="3"/>
      <c r="G772" s="3"/>
    </row>
    <row r="773">
      <c r="C773" s="3"/>
      <c r="D773" s="3"/>
      <c r="E773" s="3"/>
      <c r="G773" s="3"/>
    </row>
    <row r="774">
      <c r="C774" s="3"/>
      <c r="D774" s="3"/>
      <c r="E774" s="3"/>
      <c r="G774" s="3"/>
    </row>
    <row r="775">
      <c r="C775" s="3"/>
      <c r="D775" s="3"/>
      <c r="E775" s="3"/>
      <c r="G775" s="3"/>
    </row>
    <row r="776">
      <c r="C776" s="3"/>
      <c r="D776" s="3"/>
      <c r="E776" s="3"/>
      <c r="G776" s="3"/>
    </row>
    <row r="777">
      <c r="C777" s="3"/>
      <c r="D777" s="3"/>
      <c r="E777" s="3"/>
      <c r="G777" s="3"/>
    </row>
    <row r="778">
      <c r="C778" s="3"/>
      <c r="D778" s="3"/>
      <c r="E778" s="3"/>
      <c r="G778" s="3"/>
    </row>
    <row r="779">
      <c r="C779" s="3"/>
      <c r="D779" s="3"/>
      <c r="E779" s="3"/>
      <c r="G779" s="3"/>
    </row>
    <row r="780">
      <c r="C780" s="3"/>
      <c r="D780" s="3"/>
      <c r="E780" s="3"/>
      <c r="G780" s="3"/>
    </row>
    <row r="781">
      <c r="C781" s="3"/>
      <c r="D781" s="3"/>
      <c r="E781" s="3"/>
      <c r="G781" s="3"/>
    </row>
    <row r="782">
      <c r="C782" s="3"/>
      <c r="D782" s="3"/>
      <c r="E782" s="3"/>
      <c r="G782" s="3"/>
    </row>
    <row r="783">
      <c r="C783" s="3"/>
      <c r="D783" s="3"/>
      <c r="E783" s="3"/>
      <c r="G783" s="3"/>
    </row>
    <row r="784">
      <c r="C784" s="3"/>
      <c r="D784" s="3"/>
      <c r="E784" s="3"/>
      <c r="G784" s="3"/>
    </row>
    <row r="785">
      <c r="C785" s="3"/>
      <c r="D785" s="3"/>
      <c r="E785" s="3"/>
      <c r="G785" s="3"/>
    </row>
    <row r="786">
      <c r="C786" s="3"/>
      <c r="D786" s="3"/>
      <c r="E786" s="3"/>
      <c r="G786" s="3"/>
    </row>
    <row r="787">
      <c r="C787" s="3"/>
      <c r="D787" s="3"/>
      <c r="E787" s="3"/>
      <c r="G787" s="3"/>
    </row>
    <row r="788">
      <c r="C788" s="3"/>
      <c r="D788" s="3"/>
      <c r="E788" s="3"/>
      <c r="G788" s="3"/>
    </row>
    <row r="789">
      <c r="C789" s="3"/>
      <c r="D789" s="3"/>
      <c r="E789" s="3"/>
      <c r="G789" s="3"/>
    </row>
    <row r="790">
      <c r="C790" s="3"/>
      <c r="D790" s="3"/>
      <c r="E790" s="3"/>
      <c r="G790" s="3"/>
    </row>
    <row r="791">
      <c r="C791" s="3"/>
      <c r="D791" s="3"/>
      <c r="E791" s="3"/>
      <c r="G791" s="3"/>
    </row>
    <row r="792">
      <c r="C792" s="3"/>
      <c r="D792" s="3"/>
      <c r="E792" s="3"/>
      <c r="G792" s="3"/>
    </row>
    <row r="793">
      <c r="C793" s="3"/>
      <c r="D793" s="3"/>
      <c r="E793" s="3"/>
      <c r="G793" s="3"/>
    </row>
    <row r="794">
      <c r="C794" s="3"/>
      <c r="D794" s="3"/>
      <c r="E794" s="3"/>
      <c r="G794" s="3"/>
    </row>
    <row r="795">
      <c r="C795" s="3"/>
      <c r="D795" s="3"/>
      <c r="E795" s="3"/>
      <c r="G795" s="3"/>
    </row>
    <row r="796">
      <c r="C796" s="3"/>
      <c r="D796" s="3"/>
      <c r="E796" s="3"/>
      <c r="G796" s="3"/>
    </row>
    <row r="797">
      <c r="C797" s="3"/>
      <c r="D797" s="3"/>
      <c r="E797" s="3"/>
      <c r="G797" s="3"/>
    </row>
    <row r="798">
      <c r="C798" s="3"/>
      <c r="D798" s="3"/>
      <c r="E798" s="3"/>
      <c r="G798" s="3"/>
    </row>
    <row r="799">
      <c r="C799" s="3"/>
      <c r="D799" s="3"/>
      <c r="E799" s="3"/>
      <c r="G799" s="3"/>
    </row>
    <row r="800">
      <c r="C800" s="3"/>
      <c r="D800" s="3"/>
      <c r="E800" s="3"/>
      <c r="G800" s="3"/>
    </row>
    <row r="801">
      <c r="C801" s="3"/>
      <c r="D801" s="3"/>
      <c r="E801" s="3"/>
      <c r="G801" s="3"/>
    </row>
    <row r="802">
      <c r="C802" s="3"/>
      <c r="D802" s="3"/>
      <c r="E802" s="3"/>
      <c r="G802" s="3"/>
    </row>
    <row r="803">
      <c r="C803" s="3"/>
      <c r="D803" s="3"/>
      <c r="E803" s="3"/>
      <c r="G803" s="3"/>
    </row>
    <row r="804">
      <c r="C804" s="3"/>
      <c r="D804" s="3"/>
      <c r="E804" s="3"/>
      <c r="G804" s="3"/>
    </row>
    <row r="805">
      <c r="C805" s="3"/>
      <c r="D805" s="3"/>
      <c r="E805" s="3"/>
      <c r="G805" s="3"/>
    </row>
    <row r="806">
      <c r="C806" s="3"/>
      <c r="D806" s="3"/>
      <c r="E806" s="3"/>
      <c r="G806" s="3"/>
    </row>
    <row r="807">
      <c r="C807" s="3"/>
      <c r="D807" s="3"/>
      <c r="E807" s="3"/>
      <c r="G807" s="3"/>
    </row>
    <row r="808">
      <c r="C808" s="3"/>
      <c r="D808" s="3"/>
      <c r="E808" s="3"/>
      <c r="G808" s="3"/>
    </row>
    <row r="809">
      <c r="C809" s="3"/>
      <c r="D809" s="3"/>
      <c r="E809" s="3"/>
      <c r="G809" s="3"/>
    </row>
    <row r="810">
      <c r="C810" s="3"/>
      <c r="D810" s="3"/>
      <c r="E810" s="3"/>
      <c r="G810" s="3"/>
    </row>
    <row r="811">
      <c r="C811" s="3"/>
      <c r="D811" s="3"/>
      <c r="E811" s="3"/>
      <c r="G811" s="3"/>
    </row>
    <row r="812">
      <c r="C812" s="3"/>
      <c r="D812" s="3"/>
      <c r="E812" s="3"/>
      <c r="G812" s="3"/>
    </row>
    <row r="813">
      <c r="C813" s="3"/>
      <c r="D813" s="3"/>
      <c r="E813" s="3"/>
      <c r="G813" s="3"/>
    </row>
    <row r="814">
      <c r="C814" s="3"/>
      <c r="D814" s="3"/>
      <c r="E814" s="3"/>
      <c r="G814" s="3"/>
    </row>
    <row r="815">
      <c r="C815" s="3"/>
      <c r="D815" s="3"/>
      <c r="E815" s="3"/>
      <c r="G815" s="3"/>
    </row>
    <row r="816">
      <c r="C816" s="3"/>
      <c r="D816" s="3"/>
      <c r="E816" s="3"/>
      <c r="G816" s="3"/>
    </row>
    <row r="817">
      <c r="C817" s="3"/>
      <c r="D817" s="3"/>
      <c r="E817" s="3"/>
      <c r="G817" s="3"/>
    </row>
    <row r="818">
      <c r="C818" s="3"/>
      <c r="D818" s="3"/>
      <c r="E818" s="3"/>
      <c r="G818" s="3"/>
    </row>
    <row r="819">
      <c r="C819" s="3"/>
      <c r="D819" s="3"/>
      <c r="E819" s="3"/>
      <c r="G819" s="3"/>
    </row>
    <row r="820">
      <c r="C820" s="3"/>
      <c r="D820" s="3"/>
      <c r="E820" s="3"/>
      <c r="G820" s="3"/>
    </row>
    <row r="821">
      <c r="C821" s="3"/>
      <c r="D821" s="3"/>
      <c r="E821" s="3"/>
      <c r="G821" s="3"/>
    </row>
    <row r="822">
      <c r="C822" s="3"/>
      <c r="D822" s="3"/>
      <c r="E822" s="3"/>
      <c r="G822" s="3"/>
    </row>
    <row r="823">
      <c r="C823" s="3"/>
      <c r="D823" s="3"/>
      <c r="E823" s="3"/>
      <c r="G823" s="3"/>
    </row>
    <row r="824">
      <c r="C824" s="3"/>
      <c r="D824" s="3"/>
      <c r="E824" s="3"/>
      <c r="G824" s="3"/>
    </row>
    <row r="825">
      <c r="C825" s="3"/>
      <c r="D825" s="3"/>
      <c r="E825" s="3"/>
      <c r="G825" s="3"/>
    </row>
    <row r="826">
      <c r="C826" s="3"/>
      <c r="D826" s="3"/>
      <c r="E826" s="3"/>
      <c r="G826" s="3"/>
    </row>
    <row r="827">
      <c r="C827" s="3"/>
      <c r="D827" s="3"/>
      <c r="E827" s="3"/>
      <c r="G827" s="3"/>
    </row>
    <row r="828">
      <c r="C828" s="3"/>
      <c r="D828" s="3"/>
      <c r="E828" s="3"/>
      <c r="G828" s="3"/>
    </row>
    <row r="829">
      <c r="C829" s="3"/>
      <c r="D829" s="3"/>
      <c r="E829" s="3"/>
      <c r="G829" s="3"/>
    </row>
    <row r="830">
      <c r="C830" s="3"/>
      <c r="D830" s="3"/>
      <c r="E830" s="3"/>
      <c r="G830" s="3"/>
    </row>
    <row r="831">
      <c r="C831" s="3"/>
      <c r="D831" s="3"/>
      <c r="E831" s="3"/>
      <c r="G831" s="3"/>
    </row>
    <row r="832">
      <c r="C832" s="3"/>
      <c r="D832" s="3"/>
      <c r="E832" s="3"/>
      <c r="G832" s="3"/>
    </row>
    <row r="833">
      <c r="C833" s="3"/>
      <c r="D833" s="3"/>
      <c r="E833" s="3"/>
      <c r="G833" s="3"/>
    </row>
    <row r="834">
      <c r="C834" s="3"/>
      <c r="D834" s="3"/>
      <c r="E834" s="3"/>
      <c r="G834" s="3"/>
    </row>
    <row r="835">
      <c r="C835" s="3"/>
      <c r="D835" s="3"/>
      <c r="E835" s="3"/>
      <c r="G835" s="3"/>
    </row>
    <row r="836">
      <c r="C836" s="3"/>
      <c r="D836" s="3"/>
      <c r="E836" s="3"/>
      <c r="G836" s="3"/>
    </row>
    <row r="837">
      <c r="C837" s="3"/>
      <c r="D837" s="3"/>
      <c r="E837" s="3"/>
      <c r="G837" s="3"/>
    </row>
    <row r="838">
      <c r="C838" s="3"/>
      <c r="D838" s="3"/>
      <c r="E838" s="3"/>
      <c r="G838" s="3"/>
    </row>
    <row r="839">
      <c r="C839" s="3"/>
      <c r="D839" s="3"/>
      <c r="E839" s="3"/>
      <c r="G839" s="3"/>
    </row>
    <row r="840">
      <c r="C840" s="3"/>
      <c r="D840" s="3"/>
      <c r="E840" s="3"/>
      <c r="G840" s="3"/>
    </row>
    <row r="841">
      <c r="C841" s="3"/>
      <c r="D841" s="3"/>
      <c r="E841" s="3"/>
      <c r="G841" s="3"/>
    </row>
    <row r="842">
      <c r="C842" s="3"/>
      <c r="D842" s="3"/>
      <c r="E842" s="3"/>
      <c r="G842" s="3"/>
    </row>
    <row r="843">
      <c r="C843" s="3"/>
      <c r="D843" s="3"/>
      <c r="E843" s="3"/>
      <c r="G843" s="3"/>
    </row>
    <row r="844">
      <c r="C844" s="3"/>
      <c r="D844" s="3"/>
      <c r="E844" s="3"/>
      <c r="G844" s="3"/>
    </row>
    <row r="845">
      <c r="C845" s="3"/>
      <c r="D845" s="3"/>
      <c r="E845" s="3"/>
      <c r="G845" s="3"/>
    </row>
    <row r="846">
      <c r="C846" s="3"/>
      <c r="D846" s="3"/>
      <c r="E846" s="3"/>
      <c r="G846" s="3"/>
    </row>
    <row r="847">
      <c r="C847" s="3"/>
      <c r="D847" s="3"/>
      <c r="E847" s="3"/>
      <c r="G847" s="3"/>
    </row>
    <row r="848">
      <c r="C848" s="3"/>
      <c r="D848" s="3"/>
      <c r="E848" s="3"/>
      <c r="G848" s="3"/>
    </row>
    <row r="849">
      <c r="C849" s="3"/>
      <c r="D849" s="3"/>
      <c r="E849" s="3"/>
      <c r="G849" s="3"/>
    </row>
    <row r="850">
      <c r="C850" s="3"/>
      <c r="D850" s="3"/>
      <c r="E850" s="3"/>
      <c r="G850" s="3"/>
    </row>
    <row r="851">
      <c r="C851" s="3"/>
      <c r="D851" s="3"/>
      <c r="E851" s="3"/>
      <c r="G851" s="3"/>
    </row>
    <row r="852">
      <c r="C852" s="3"/>
      <c r="D852" s="3"/>
      <c r="E852" s="3"/>
      <c r="G852" s="3"/>
    </row>
    <row r="853">
      <c r="C853" s="3"/>
      <c r="D853" s="3"/>
      <c r="E853" s="3"/>
      <c r="G853" s="3"/>
    </row>
    <row r="854">
      <c r="C854" s="3"/>
      <c r="D854" s="3"/>
      <c r="E854" s="3"/>
      <c r="G854" s="3"/>
    </row>
    <row r="855">
      <c r="C855" s="3"/>
      <c r="D855" s="3"/>
      <c r="E855" s="3"/>
      <c r="G855" s="3"/>
    </row>
    <row r="856">
      <c r="C856" s="3"/>
      <c r="D856" s="3"/>
      <c r="E856" s="3"/>
      <c r="G856" s="3"/>
    </row>
    <row r="857">
      <c r="C857" s="3"/>
      <c r="D857" s="3"/>
      <c r="E857" s="3"/>
      <c r="G857" s="3"/>
    </row>
    <row r="858">
      <c r="C858" s="3"/>
      <c r="D858" s="3"/>
      <c r="E858" s="3"/>
      <c r="G858" s="3"/>
    </row>
    <row r="859">
      <c r="C859" s="3"/>
      <c r="D859" s="3"/>
      <c r="E859" s="3"/>
      <c r="G859" s="3"/>
    </row>
    <row r="860">
      <c r="C860" s="3"/>
      <c r="D860" s="3"/>
      <c r="E860" s="3"/>
      <c r="G860" s="3"/>
    </row>
    <row r="861">
      <c r="C861" s="3"/>
      <c r="D861" s="3"/>
      <c r="E861" s="3"/>
      <c r="G861" s="3"/>
    </row>
    <row r="862">
      <c r="C862" s="3"/>
      <c r="D862" s="3"/>
      <c r="E862" s="3"/>
      <c r="G862" s="3"/>
    </row>
    <row r="863">
      <c r="C863" s="3"/>
      <c r="D863" s="3"/>
      <c r="E863" s="3"/>
      <c r="G863" s="3"/>
    </row>
    <row r="864">
      <c r="C864" s="3"/>
      <c r="D864" s="3"/>
      <c r="E864" s="3"/>
      <c r="G864" s="3"/>
    </row>
    <row r="865">
      <c r="C865" s="3"/>
      <c r="D865" s="3"/>
      <c r="E865" s="3"/>
      <c r="G865" s="3"/>
    </row>
    <row r="866">
      <c r="C866" s="3"/>
      <c r="D866" s="3"/>
      <c r="E866" s="3"/>
      <c r="G866" s="3"/>
    </row>
    <row r="867">
      <c r="C867" s="3"/>
      <c r="D867" s="3"/>
      <c r="E867" s="3"/>
      <c r="G867" s="3"/>
    </row>
    <row r="868">
      <c r="C868" s="3"/>
      <c r="D868" s="3"/>
      <c r="E868" s="3"/>
      <c r="G868" s="3"/>
    </row>
    <row r="869">
      <c r="C869" s="3"/>
      <c r="D869" s="3"/>
      <c r="E869" s="3"/>
      <c r="G869" s="3"/>
    </row>
    <row r="870">
      <c r="C870" s="3"/>
      <c r="D870" s="3"/>
      <c r="E870" s="3"/>
      <c r="G870" s="3"/>
    </row>
    <row r="871">
      <c r="C871" s="3"/>
      <c r="D871" s="3"/>
      <c r="E871" s="3"/>
      <c r="G871" s="3"/>
    </row>
    <row r="872">
      <c r="C872" s="3"/>
      <c r="D872" s="3"/>
      <c r="E872" s="3"/>
      <c r="G872" s="3"/>
    </row>
    <row r="873">
      <c r="C873" s="3"/>
      <c r="D873" s="3"/>
      <c r="E873" s="3"/>
      <c r="G873" s="3"/>
    </row>
    <row r="874">
      <c r="C874" s="3"/>
      <c r="D874" s="3"/>
      <c r="E874" s="3"/>
      <c r="G874" s="3"/>
    </row>
    <row r="875">
      <c r="C875" s="3"/>
      <c r="D875" s="3"/>
      <c r="E875" s="3"/>
      <c r="G875" s="3"/>
    </row>
    <row r="876">
      <c r="C876" s="3"/>
      <c r="D876" s="3"/>
      <c r="E876" s="3"/>
      <c r="G876" s="3"/>
    </row>
    <row r="877">
      <c r="C877" s="3"/>
      <c r="D877" s="3"/>
      <c r="E877" s="3"/>
      <c r="G877" s="3"/>
    </row>
    <row r="878">
      <c r="C878" s="3"/>
      <c r="D878" s="3"/>
      <c r="E878" s="3"/>
      <c r="G878" s="3"/>
    </row>
    <row r="879">
      <c r="C879" s="3"/>
      <c r="D879" s="3"/>
      <c r="E879" s="3"/>
      <c r="G879" s="3"/>
    </row>
    <row r="880">
      <c r="C880" s="3"/>
      <c r="D880" s="3"/>
      <c r="E880" s="3"/>
      <c r="G880" s="3"/>
    </row>
    <row r="881">
      <c r="C881" s="3"/>
      <c r="D881" s="3"/>
      <c r="E881" s="3"/>
      <c r="G881" s="3"/>
    </row>
    <row r="882">
      <c r="C882" s="3"/>
      <c r="D882" s="3"/>
      <c r="E882" s="3"/>
      <c r="G882" s="3"/>
    </row>
    <row r="883">
      <c r="C883" s="3"/>
      <c r="D883" s="3"/>
      <c r="E883" s="3"/>
      <c r="G883" s="3"/>
    </row>
    <row r="884">
      <c r="C884" s="3"/>
      <c r="D884" s="3"/>
      <c r="E884" s="3"/>
      <c r="G884" s="3"/>
    </row>
    <row r="885">
      <c r="C885" s="3"/>
      <c r="D885" s="3"/>
      <c r="E885" s="3"/>
      <c r="G885" s="3"/>
    </row>
    <row r="886">
      <c r="C886" s="3"/>
      <c r="D886" s="3"/>
      <c r="E886" s="3"/>
      <c r="G886" s="3"/>
    </row>
    <row r="887">
      <c r="C887" s="3"/>
      <c r="D887" s="3"/>
      <c r="E887" s="3"/>
      <c r="G887" s="3"/>
    </row>
    <row r="888">
      <c r="C888" s="3"/>
      <c r="D888" s="3"/>
      <c r="E888" s="3"/>
      <c r="G888" s="3"/>
    </row>
    <row r="889">
      <c r="C889" s="3"/>
      <c r="D889" s="3"/>
      <c r="E889" s="3"/>
      <c r="G889" s="3"/>
    </row>
    <row r="890">
      <c r="C890" s="3"/>
      <c r="D890" s="3"/>
      <c r="E890" s="3"/>
      <c r="G890" s="3"/>
    </row>
    <row r="891">
      <c r="C891" s="3"/>
      <c r="D891" s="3"/>
      <c r="E891" s="3"/>
      <c r="G891" s="3"/>
    </row>
    <row r="892">
      <c r="C892" s="3"/>
      <c r="D892" s="3"/>
      <c r="E892" s="3"/>
      <c r="G892" s="3"/>
    </row>
    <row r="893">
      <c r="C893" s="3"/>
      <c r="D893" s="3"/>
      <c r="E893" s="3"/>
      <c r="G893" s="3"/>
    </row>
    <row r="894">
      <c r="C894" s="3"/>
      <c r="D894" s="3"/>
      <c r="E894" s="3"/>
      <c r="G894" s="3"/>
    </row>
    <row r="895">
      <c r="C895" s="3"/>
      <c r="D895" s="3"/>
      <c r="E895" s="3"/>
      <c r="G895" s="3"/>
    </row>
    <row r="896">
      <c r="C896" s="3"/>
      <c r="D896" s="3"/>
      <c r="E896" s="3"/>
      <c r="G896" s="3"/>
    </row>
    <row r="897">
      <c r="C897" s="3"/>
      <c r="D897" s="3"/>
      <c r="E897" s="3"/>
      <c r="G897" s="3"/>
    </row>
    <row r="898">
      <c r="C898" s="3"/>
      <c r="D898" s="3"/>
      <c r="E898" s="3"/>
      <c r="G898" s="3"/>
    </row>
    <row r="899">
      <c r="C899" s="3"/>
      <c r="D899" s="3"/>
      <c r="E899" s="3"/>
      <c r="G899" s="3"/>
    </row>
    <row r="900">
      <c r="C900" s="3"/>
      <c r="D900" s="3"/>
      <c r="E900" s="3"/>
      <c r="G900" s="3"/>
    </row>
    <row r="901">
      <c r="C901" s="3"/>
      <c r="D901" s="3"/>
      <c r="E901" s="3"/>
      <c r="G901" s="3"/>
    </row>
    <row r="902">
      <c r="C902" s="3"/>
      <c r="D902" s="3"/>
      <c r="E902" s="3"/>
      <c r="G902" s="3"/>
    </row>
    <row r="903">
      <c r="C903" s="3"/>
      <c r="D903" s="3"/>
      <c r="E903" s="3"/>
      <c r="G903" s="3"/>
    </row>
    <row r="904">
      <c r="C904" s="3"/>
      <c r="D904" s="3"/>
      <c r="E904" s="3"/>
      <c r="G904" s="3"/>
    </row>
    <row r="905">
      <c r="C905" s="3"/>
      <c r="D905" s="3"/>
      <c r="E905" s="3"/>
      <c r="G905" s="3"/>
    </row>
    <row r="906">
      <c r="C906" s="3"/>
      <c r="D906" s="3"/>
      <c r="E906" s="3"/>
      <c r="G906" s="3"/>
    </row>
    <row r="907">
      <c r="C907" s="3"/>
      <c r="D907" s="3"/>
      <c r="E907" s="3"/>
      <c r="G907" s="3"/>
    </row>
    <row r="908">
      <c r="C908" s="3"/>
      <c r="D908" s="3"/>
      <c r="E908" s="3"/>
      <c r="G908" s="3"/>
    </row>
    <row r="909">
      <c r="C909" s="3"/>
      <c r="D909" s="3"/>
      <c r="E909" s="3"/>
      <c r="G909" s="3"/>
    </row>
    <row r="910">
      <c r="C910" s="3"/>
      <c r="D910" s="3"/>
      <c r="E910" s="3"/>
      <c r="G910" s="3"/>
    </row>
    <row r="911">
      <c r="C911" s="3"/>
      <c r="D911" s="3"/>
      <c r="E911" s="3"/>
      <c r="G911" s="3"/>
    </row>
    <row r="912">
      <c r="C912" s="3"/>
      <c r="D912" s="3"/>
      <c r="E912" s="3"/>
      <c r="G912" s="3"/>
    </row>
    <row r="913">
      <c r="C913" s="3"/>
      <c r="D913" s="3"/>
      <c r="E913" s="3"/>
      <c r="G913" s="3"/>
    </row>
    <row r="914">
      <c r="C914" s="3"/>
      <c r="D914" s="3"/>
      <c r="E914" s="3"/>
      <c r="G914" s="3"/>
    </row>
    <row r="915">
      <c r="C915" s="3"/>
      <c r="D915" s="3"/>
      <c r="E915" s="3"/>
      <c r="G915" s="3"/>
    </row>
    <row r="916">
      <c r="C916" s="3"/>
      <c r="D916" s="3"/>
      <c r="E916" s="3"/>
      <c r="G916" s="3"/>
    </row>
    <row r="917">
      <c r="C917" s="3"/>
      <c r="D917" s="3"/>
      <c r="E917" s="3"/>
      <c r="G917" s="3"/>
    </row>
    <row r="918">
      <c r="C918" s="3"/>
      <c r="D918" s="3"/>
      <c r="E918" s="3"/>
      <c r="G918" s="3"/>
    </row>
    <row r="919">
      <c r="C919" s="3"/>
      <c r="D919" s="3"/>
      <c r="E919" s="3"/>
      <c r="G919" s="3"/>
    </row>
    <row r="920">
      <c r="C920" s="3"/>
      <c r="D920" s="3"/>
      <c r="E920" s="3"/>
      <c r="G920" s="3"/>
    </row>
    <row r="921">
      <c r="C921" s="3"/>
      <c r="D921" s="3"/>
      <c r="E921" s="3"/>
      <c r="G921" s="3"/>
    </row>
    <row r="922">
      <c r="C922" s="3"/>
      <c r="D922" s="3"/>
      <c r="E922" s="3"/>
      <c r="G922" s="3"/>
    </row>
    <row r="923">
      <c r="C923" s="3"/>
      <c r="D923" s="3"/>
      <c r="E923" s="3"/>
      <c r="G923" s="3"/>
    </row>
    <row r="924">
      <c r="C924" s="3"/>
      <c r="D924" s="3"/>
      <c r="E924" s="3"/>
      <c r="G924" s="3"/>
    </row>
    <row r="925">
      <c r="C925" s="3"/>
      <c r="D925" s="3"/>
      <c r="E925" s="3"/>
      <c r="G925" s="3"/>
    </row>
    <row r="926">
      <c r="C926" s="3"/>
      <c r="D926" s="3"/>
      <c r="E926" s="3"/>
      <c r="G926" s="3"/>
    </row>
    <row r="927">
      <c r="C927" s="3"/>
      <c r="D927" s="3"/>
      <c r="E927" s="3"/>
      <c r="G927" s="3"/>
    </row>
    <row r="928">
      <c r="C928" s="3"/>
      <c r="D928" s="3"/>
      <c r="E928" s="3"/>
      <c r="G928" s="3"/>
    </row>
    <row r="929">
      <c r="C929" s="3"/>
      <c r="D929" s="3"/>
      <c r="E929" s="3"/>
      <c r="G929" s="3"/>
    </row>
    <row r="930">
      <c r="C930" s="3"/>
      <c r="D930" s="3"/>
      <c r="E930" s="3"/>
      <c r="G930" s="3"/>
    </row>
    <row r="931">
      <c r="C931" s="3"/>
      <c r="D931" s="3"/>
      <c r="E931" s="3"/>
      <c r="G931" s="3"/>
    </row>
    <row r="932">
      <c r="C932" s="3"/>
      <c r="D932" s="3"/>
      <c r="E932" s="3"/>
      <c r="G932" s="3"/>
    </row>
    <row r="933">
      <c r="C933" s="3"/>
      <c r="D933" s="3"/>
      <c r="E933" s="3"/>
      <c r="G933" s="3"/>
    </row>
    <row r="934">
      <c r="C934" s="3"/>
      <c r="D934" s="3"/>
      <c r="E934" s="3"/>
      <c r="G934" s="3"/>
    </row>
    <row r="935">
      <c r="C935" s="3"/>
      <c r="D935" s="3"/>
      <c r="E935" s="3"/>
      <c r="G935" s="3"/>
    </row>
    <row r="936">
      <c r="C936" s="3"/>
      <c r="D936" s="3"/>
      <c r="E936" s="3"/>
      <c r="G936" s="3"/>
    </row>
    <row r="937">
      <c r="C937" s="3"/>
      <c r="D937" s="3"/>
      <c r="E937" s="3"/>
      <c r="G937" s="3"/>
    </row>
    <row r="938">
      <c r="C938" s="3"/>
      <c r="D938" s="3"/>
      <c r="E938" s="3"/>
      <c r="G938" s="3"/>
    </row>
    <row r="939">
      <c r="C939" s="3"/>
      <c r="D939" s="3"/>
      <c r="E939" s="3"/>
      <c r="G939" s="3"/>
    </row>
    <row r="940">
      <c r="C940" s="3"/>
      <c r="D940" s="3"/>
      <c r="E940" s="3"/>
      <c r="G940" s="3"/>
    </row>
    <row r="941">
      <c r="C941" s="3"/>
      <c r="D941" s="3"/>
      <c r="E941" s="3"/>
      <c r="G941" s="3"/>
    </row>
    <row r="942">
      <c r="C942" s="3"/>
      <c r="D942" s="3"/>
      <c r="E942" s="3"/>
      <c r="G942" s="3"/>
    </row>
    <row r="943">
      <c r="C943" s="3"/>
      <c r="D943" s="3"/>
      <c r="E943" s="3"/>
      <c r="G943" s="3"/>
    </row>
    <row r="944">
      <c r="C944" s="3"/>
      <c r="D944" s="3"/>
      <c r="E944" s="3"/>
      <c r="G944" s="3"/>
    </row>
    <row r="945">
      <c r="C945" s="3"/>
      <c r="D945" s="3"/>
      <c r="E945" s="3"/>
      <c r="G945" s="3"/>
    </row>
    <row r="946">
      <c r="C946" s="3"/>
      <c r="D946" s="3"/>
      <c r="E946" s="3"/>
      <c r="G946" s="3"/>
    </row>
    <row r="947">
      <c r="C947" s="3"/>
      <c r="D947" s="3"/>
      <c r="E947" s="3"/>
      <c r="G947" s="3"/>
    </row>
    <row r="948">
      <c r="C948" s="3"/>
      <c r="D948" s="3"/>
      <c r="E948" s="3"/>
      <c r="G948" s="3"/>
    </row>
    <row r="949">
      <c r="C949" s="3"/>
      <c r="D949" s="3"/>
      <c r="E949" s="3"/>
      <c r="G949" s="3"/>
    </row>
    <row r="950">
      <c r="C950" s="3"/>
      <c r="D950" s="3"/>
      <c r="E950" s="3"/>
      <c r="G950" s="3"/>
    </row>
    <row r="951">
      <c r="C951" s="3"/>
      <c r="D951" s="3"/>
      <c r="E951" s="3"/>
      <c r="G951" s="3"/>
    </row>
    <row r="952">
      <c r="C952" s="3"/>
      <c r="D952" s="3"/>
      <c r="E952" s="3"/>
      <c r="G952" s="3"/>
    </row>
    <row r="953">
      <c r="C953" s="3"/>
      <c r="D953" s="3"/>
      <c r="E953" s="3"/>
      <c r="G953" s="3"/>
    </row>
    <row r="954">
      <c r="C954" s="3"/>
      <c r="D954" s="3"/>
      <c r="E954" s="3"/>
      <c r="G954" s="3"/>
    </row>
    <row r="955">
      <c r="C955" s="3"/>
      <c r="D955" s="3"/>
      <c r="E955" s="3"/>
      <c r="G955" s="3"/>
    </row>
    <row r="956">
      <c r="C956" s="3"/>
      <c r="D956" s="3"/>
      <c r="E956" s="3"/>
      <c r="G956" s="3"/>
    </row>
    <row r="957">
      <c r="C957" s="3"/>
      <c r="D957" s="3"/>
      <c r="E957" s="3"/>
      <c r="G957" s="3"/>
    </row>
    <row r="958">
      <c r="C958" s="3"/>
      <c r="D958" s="3"/>
      <c r="E958" s="3"/>
      <c r="G958" s="3"/>
    </row>
    <row r="959">
      <c r="C959" s="3"/>
      <c r="D959" s="3"/>
      <c r="E959" s="3"/>
      <c r="G959" s="3"/>
    </row>
    <row r="960">
      <c r="C960" s="3"/>
      <c r="D960" s="3"/>
      <c r="E960" s="3"/>
      <c r="G960" s="3"/>
    </row>
    <row r="961">
      <c r="C961" s="3"/>
      <c r="D961" s="3"/>
      <c r="E961" s="3"/>
      <c r="G961" s="3"/>
    </row>
    <row r="962">
      <c r="C962" s="3"/>
      <c r="D962" s="3"/>
      <c r="E962" s="3"/>
      <c r="G962" s="3"/>
    </row>
    <row r="963">
      <c r="C963" s="3"/>
      <c r="D963" s="3"/>
      <c r="E963" s="3"/>
      <c r="G963" s="3"/>
    </row>
    <row r="964">
      <c r="C964" s="3"/>
      <c r="D964" s="3"/>
      <c r="E964" s="3"/>
      <c r="G964" s="3"/>
    </row>
    <row r="965">
      <c r="C965" s="3"/>
      <c r="D965" s="3"/>
      <c r="E965" s="3"/>
      <c r="G965" s="3"/>
    </row>
    <row r="966">
      <c r="C966" s="3"/>
      <c r="D966" s="3"/>
      <c r="E966" s="3"/>
      <c r="G966" s="3"/>
    </row>
    <row r="967">
      <c r="C967" s="3"/>
      <c r="D967" s="3"/>
      <c r="E967" s="3"/>
      <c r="G967" s="3"/>
    </row>
    <row r="968">
      <c r="C968" s="3"/>
      <c r="D968" s="3"/>
      <c r="E968" s="3"/>
      <c r="G968" s="3"/>
    </row>
    <row r="969">
      <c r="C969" s="3"/>
      <c r="D969" s="3"/>
      <c r="E969" s="3"/>
      <c r="G969" s="3"/>
    </row>
    <row r="970">
      <c r="C970" s="3"/>
      <c r="D970" s="3"/>
      <c r="E970" s="3"/>
      <c r="G970" s="3"/>
    </row>
    <row r="971">
      <c r="C971" s="3"/>
      <c r="D971" s="3"/>
      <c r="E971" s="3"/>
      <c r="G971" s="3"/>
    </row>
    <row r="972">
      <c r="C972" s="3"/>
      <c r="D972" s="3"/>
      <c r="E972" s="3"/>
      <c r="G972" s="3"/>
    </row>
    <row r="973">
      <c r="C973" s="3"/>
      <c r="D973" s="3"/>
      <c r="E973" s="3"/>
      <c r="G973" s="3"/>
    </row>
    <row r="974">
      <c r="C974" s="3"/>
      <c r="D974" s="3"/>
      <c r="E974" s="3"/>
      <c r="G974" s="3"/>
    </row>
    <row r="975">
      <c r="C975" s="3"/>
      <c r="D975" s="3"/>
      <c r="E975" s="3"/>
      <c r="G975" s="3"/>
    </row>
    <row r="976">
      <c r="C976" s="3"/>
      <c r="D976" s="3"/>
      <c r="E976" s="3"/>
      <c r="G976" s="3"/>
    </row>
    <row r="977">
      <c r="C977" s="3"/>
      <c r="D977" s="3"/>
      <c r="E977" s="3"/>
      <c r="G977" s="3"/>
    </row>
    <row r="978">
      <c r="C978" s="3"/>
      <c r="D978" s="3"/>
      <c r="E978" s="3"/>
      <c r="G978" s="3"/>
    </row>
    <row r="979">
      <c r="C979" s="3"/>
      <c r="D979" s="3"/>
      <c r="E979" s="3"/>
      <c r="G979" s="3"/>
    </row>
    <row r="980">
      <c r="C980" s="3"/>
      <c r="D980" s="3"/>
      <c r="E980" s="3"/>
      <c r="G980" s="3"/>
    </row>
    <row r="981">
      <c r="C981" s="3"/>
      <c r="D981" s="3"/>
      <c r="E981" s="3"/>
      <c r="G981" s="3"/>
    </row>
    <row r="982">
      <c r="C982" s="3"/>
      <c r="D982" s="3"/>
      <c r="E982" s="3"/>
      <c r="G982" s="3"/>
    </row>
    <row r="983">
      <c r="C983" s="3"/>
      <c r="D983" s="3"/>
      <c r="E983" s="3"/>
      <c r="G983" s="3"/>
    </row>
    <row r="984">
      <c r="C984" s="3"/>
      <c r="D984" s="3"/>
      <c r="E984" s="3"/>
      <c r="G984" s="3"/>
    </row>
    <row r="985">
      <c r="C985" s="3"/>
      <c r="D985" s="3"/>
      <c r="E985" s="3"/>
      <c r="G985" s="3"/>
    </row>
    <row r="986">
      <c r="C986" s="3"/>
      <c r="D986" s="3"/>
      <c r="E986" s="3"/>
      <c r="G986" s="3"/>
    </row>
    <row r="987">
      <c r="C987" s="3"/>
      <c r="D987" s="3"/>
      <c r="E987" s="3"/>
      <c r="G987" s="3"/>
    </row>
    <row r="988">
      <c r="C988" s="3"/>
      <c r="D988" s="3"/>
      <c r="E988" s="3"/>
      <c r="G988" s="3"/>
    </row>
    <row r="989">
      <c r="C989" s="3"/>
      <c r="D989" s="3"/>
      <c r="E989" s="3"/>
      <c r="G989" s="3"/>
    </row>
    <row r="990">
      <c r="C990" s="3"/>
      <c r="D990" s="3"/>
      <c r="E990" s="3"/>
      <c r="G990" s="3"/>
    </row>
    <row r="991">
      <c r="C991" s="3"/>
      <c r="D991" s="3"/>
      <c r="E991" s="3"/>
      <c r="G991" s="3"/>
    </row>
    <row r="992">
      <c r="C992" s="3"/>
      <c r="D992" s="3"/>
      <c r="E992" s="3"/>
      <c r="G992" s="3"/>
    </row>
    <row r="993">
      <c r="C993" s="3"/>
      <c r="D993" s="3"/>
      <c r="E993" s="3"/>
      <c r="G993" s="3"/>
    </row>
    <row r="994">
      <c r="C994" s="3"/>
      <c r="D994" s="3"/>
      <c r="E994" s="3"/>
      <c r="G994" s="3"/>
    </row>
    <row r="995">
      <c r="C995" s="3"/>
      <c r="D995" s="3"/>
      <c r="E995" s="3"/>
      <c r="G995" s="3"/>
    </row>
    <row r="996">
      <c r="C996" s="3"/>
      <c r="D996" s="3"/>
      <c r="E996" s="3"/>
      <c r="G996" s="3"/>
    </row>
    <row r="997">
      <c r="C997" s="3"/>
      <c r="D997" s="3"/>
      <c r="E997" s="3"/>
      <c r="G997" s="3"/>
    </row>
    <row r="998">
      <c r="C998" s="3"/>
      <c r="D998" s="3"/>
      <c r="E998" s="3"/>
      <c r="G998" s="3"/>
    </row>
    <row r="999">
      <c r="C999" s="3"/>
      <c r="D999" s="3"/>
      <c r="E999" s="3"/>
      <c r="G999" s="3"/>
    </row>
    <row r="1000">
      <c r="C1000" s="3"/>
      <c r="D1000" s="3"/>
      <c r="E1000" s="3"/>
      <c r="G1000" s="3"/>
    </row>
    <row r="1001">
      <c r="C1001" s="3"/>
      <c r="D1001" s="3"/>
      <c r="E1001" s="3"/>
      <c r="G1001" s="3"/>
    </row>
    <row r="1002">
      <c r="C1002" s="3"/>
      <c r="D1002" s="3"/>
      <c r="E1002" s="3"/>
      <c r="G1002" s="3"/>
    </row>
    <row r="1003">
      <c r="C1003" s="3"/>
      <c r="D1003" s="3"/>
      <c r="E1003" s="3"/>
      <c r="G1003" s="3"/>
    </row>
    <row r="1004">
      <c r="C1004" s="3"/>
      <c r="D1004" s="3"/>
      <c r="E1004" s="3"/>
      <c r="G1004" s="3"/>
    </row>
    <row r="1005">
      <c r="C1005" s="3"/>
      <c r="D1005" s="3"/>
      <c r="E1005" s="3"/>
      <c r="G1005" s="3"/>
    </row>
    <row r="1006">
      <c r="C1006" s="3"/>
      <c r="D1006" s="3"/>
      <c r="E1006" s="3"/>
      <c r="G1006" s="3"/>
    </row>
    <row r="1007">
      <c r="C1007" s="3"/>
      <c r="D1007" s="3"/>
      <c r="E1007" s="3"/>
      <c r="G1007" s="3"/>
    </row>
    <row r="1008">
      <c r="C1008" s="3"/>
      <c r="D1008" s="3"/>
      <c r="E1008" s="3"/>
      <c r="G1008" s="3"/>
    </row>
    <row r="1009">
      <c r="C1009" s="3"/>
      <c r="D1009" s="3"/>
      <c r="E1009" s="3"/>
      <c r="G1009" s="3"/>
    </row>
    <row r="1010">
      <c r="C1010" s="3"/>
      <c r="D1010" s="3"/>
      <c r="E1010" s="3"/>
      <c r="G1010" s="3"/>
    </row>
    <row r="1011">
      <c r="C1011" s="3"/>
      <c r="D1011" s="3"/>
      <c r="E1011" s="3"/>
      <c r="G1011" s="3"/>
    </row>
    <row r="1012">
      <c r="C1012" s="3"/>
      <c r="D1012" s="3"/>
      <c r="E1012" s="3"/>
      <c r="G1012" s="3"/>
    </row>
    <row r="1013">
      <c r="C1013" s="3"/>
      <c r="D1013" s="3"/>
      <c r="E1013" s="3"/>
      <c r="G1013" s="3"/>
    </row>
    <row r="1014">
      <c r="C1014" s="3"/>
      <c r="D1014" s="3"/>
      <c r="E1014" s="3"/>
      <c r="G1014" s="3"/>
    </row>
    <row r="1015">
      <c r="C1015" s="3"/>
      <c r="D1015" s="3"/>
      <c r="E1015" s="3"/>
      <c r="G1015" s="3"/>
    </row>
    <row r="1016">
      <c r="C1016" s="3"/>
      <c r="D1016" s="3"/>
      <c r="E1016" s="3"/>
      <c r="G1016" s="3"/>
    </row>
    <row r="1017">
      <c r="C1017" s="3"/>
      <c r="D1017" s="3"/>
      <c r="E1017" s="3"/>
      <c r="G1017" s="3"/>
    </row>
    <row r="1018">
      <c r="C1018" s="3"/>
      <c r="D1018" s="3"/>
      <c r="E1018" s="3"/>
      <c r="G1018" s="3"/>
    </row>
    <row r="1019">
      <c r="C1019" s="3"/>
      <c r="D1019" s="3"/>
      <c r="E1019" s="3"/>
      <c r="G1019" s="3"/>
    </row>
    <row r="1020">
      <c r="C1020" s="3"/>
      <c r="D1020" s="3"/>
      <c r="E1020" s="3"/>
      <c r="G1020" s="3"/>
    </row>
    <row r="1021">
      <c r="C1021" s="3"/>
      <c r="D1021" s="3"/>
      <c r="E1021" s="3"/>
      <c r="G1021" s="3"/>
    </row>
    <row r="1022">
      <c r="C1022" s="3"/>
      <c r="D1022" s="3"/>
      <c r="E1022" s="3"/>
      <c r="G1022" s="3"/>
    </row>
    <row r="1023">
      <c r="C1023" s="3"/>
      <c r="D1023" s="3"/>
      <c r="E1023" s="3"/>
      <c r="G1023" s="3"/>
    </row>
    <row r="1024">
      <c r="C1024" s="3"/>
      <c r="D1024" s="3"/>
      <c r="E1024" s="3"/>
      <c r="G1024" s="3"/>
    </row>
  </sheetData>
  <autoFilter ref="$A$1:$L$78"/>
  <conditionalFormatting sqref="F3:F78 G27">
    <cfRule type="notContainsBlanks" dxfId="0" priority="1">
      <formula>LEN(TRIM(F3))&gt;0</formula>
    </cfRule>
  </conditionalFormatting>
  <dataValidations>
    <dataValidation type="list" allowBlank="1" showErrorMessage="1" sqref="G3:G26 G27:H27 G28:G40 G42:G78">
      <formula1>"база данных,интеграция с платежной системой,автоматические уведомления без сложной логики,AI-аналитика,администрирование,эскалация,интеграция с ТГ"</formula1>
    </dataValidation>
    <dataValidation type="list" allowBlank="1" showErrorMessage="1" sqref="D3:D40">
      <formula1>"уже умеет,не умеет,50/50"</formula1>
    </dataValidation>
    <dataValidation type="list" allowBlank="1" showErrorMessage="1" sqref="F3:F40 F42:F78">
      <formula1>"must - база ,unic - фишка ,features - масштабирование,excite - восторг,eco - экосистема,неизвестно"</formula1>
    </dataValidation>
  </dataValidations>
  <drawing r:id="rId1"/>
</worksheet>
</file>